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k\Desktop\"/>
    </mc:Choice>
  </mc:AlternateContent>
  <xr:revisionPtr revIDLastSave="0" documentId="8_{C96888A2-1F96-4776-AD1D-3ECFF425E87E}" xr6:coauthVersionLast="47" xr6:coauthVersionMax="47" xr10:uidLastSave="{00000000-0000-0000-0000-000000000000}"/>
  <bookViews>
    <workbookView xWindow="-108" yWindow="-108" windowWidth="23256" windowHeight="12456" activeTab="7" xr2:uid="{C5457706-D572-41AE-A7C3-5470F1154CCC}"/>
  </bookViews>
  <sheets>
    <sheet name="INV" sheetId="3" r:id="rId1"/>
    <sheet name="INV+AM" sheetId="10" r:id="rId2"/>
    <sheet name="PRIHODI" sheetId="5" r:id="rId3"/>
    <sheet name="RASHODI" sheetId="6" r:id="rId4"/>
    <sheet name="KREDIT" sheetId="7" r:id="rId5"/>
    <sheet name="RDG" sheetId="9" r:id="rId6"/>
    <sheet name="TOBS" sheetId="11" r:id="rId7"/>
    <sheet name="ET I FT" sheetId="1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2" l="1"/>
  <c r="B43" i="12"/>
  <c r="B42" i="12"/>
  <c r="G41" i="12"/>
  <c r="F41" i="12"/>
  <c r="E41" i="12"/>
  <c r="D41" i="12"/>
  <c r="C41" i="12"/>
  <c r="G40" i="12"/>
  <c r="F40" i="12"/>
  <c r="E40" i="12"/>
  <c r="D40" i="12"/>
  <c r="C40" i="12"/>
  <c r="G39" i="12"/>
  <c r="F39" i="12"/>
  <c r="E39" i="12"/>
  <c r="D39" i="12"/>
  <c r="C39" i="12"/>
  <c r="G38" i="12"/>
  <c r="F38" i="12"/>
  <c r="E38" i="12"/>
  <c r="D38" i="12"/>
  <c r="C38" i="12"/>
  <c r="G37" i="12"/>
  <c r="F37" i="12"/>
  <c r="E37" i="12"/>
  <c r="D37" i="12"/>
  <c r="C37" i="12"/>
  <c r="B36" i="12"/>
  <c r="B35" i="12" s="1"/>
  <c r="G34" i="12"/>
  <c r="G33" i="12"/>
  <c r="G32" i="12"/>
  <c r="B31" i="12"/>
  <c r="B30" i="12"/>
  <c r="G28" i="12"/>
  <c r="F28" i="12"/>
  <c r="E28" i="12"/>
  <c r="D28" i="12"/>
  <c r="D27" i="12" s="1"/>
  <c r="C28" i="12"/>
  <c r="B29" i="12"/>
  <c r="B27" i="12" s="1"/>
  <c r="G27" i="12"/>
  <c r="F27" i="12"/>
  <c r="E27" i="12"/>
  <c r="C27" i="12"/>
  <c r="N13" i="12"/>
  <c r="B10" i="12"/>
  <c r="B16" i="12" s="1"/>
  <c r="G15" i="12"/>
  <c r="F15" i="12"/>
  <c r="E15" i="12"/>
  <c r="D15" i="12"/>
  <c r="C15" i="12"/>
  <c r="G14" i="12"/>
  <c r="F14" i="12"/>
  <c r="E14" i="12"/>
  <c r="D14" i="12"/>
  <c r="C14" i="12"/>
  <c r="C13" i="12"/>
  <c r="C10" i="12" s="1"/>
  <c r="G13" i="12"/>
  <c r="F13" i="12"/>
  <c r="F10" i="12" s="1"/>
  <c r="E13" i="12"/>
  <c r="E10" i="12" s="1"/>
  <c r="D13" i="12"/>
  <c r="G12" i="12"/>
  <c r="G10" i="12" s="1"/>
  <c r="F12" i="12"/>
  <c r="E12" i="12"/>
  <c r="D12" i="12"/>
  <c r="C12" i="12"/>
  <c r="B11" i="12"/>
  <c r="L20" i="12" s="1"/>
  <c r="G9" i="12"/>
  <c r="G8" i="12"/>
  <c r="G7" i="12" s="1"/>
  <c r="G6" i="12"/>
  <c r="F6" i="12"/>
  <c r="F5" i="12" s="1"/>
  <c r="E6" i="12"/>
  <c r="E5" i="12" s="1"/>
  <c r="D6" i="12"/>
  <c r="D5" i="12" s="1"/>
  <c r="C6" i="12"/>
  <c r="C5" i="12" s="1"/>
  <c r="H5" i="7"/>
  <c r="I32" i="10"/>
  <c r="I33" i="10"/>
  <c r="H32" i="10"/>
  <c r="H33" i="10"/>
  <c r="G32" i="10"/>
  <c r="F32" i="10"/>
  <c r="E32" i="10"/>
  <c r="I28" i="10"/>
  <c r="C28" i="11"/>
  <c r="C27" i="11"/>
  <c r="C26" i="11"/>
  <c r="C25" i="11"/>
  <c r="C24" i="11"/>
  <c r="C22" i="11"/>
  <c r="C21" i="11"/>
  <c r="C20" i="11"/>
  <c r="C19" i="11"/>
  <c r="C18" i="11"/>
  <c r="H13" i="11"/>
  <c r="G13" i="11"/>
  <c r="G28" i="11" s="1"/>
  <c r="F13" i="11"/>
  <c r="E13" i="11"/>
  <c r="D13" i="11"/>
  <c r="H12" i="11"/>
  <c r="G12" i="11"/>
  <c r="F12" i="11"/>
  <c r="E12" i="11"/>
  <c r="D12" i="11"/>
  <c r="H11" i="11"/>
  <c r="G11" i="11"/>
  <c r="F11" i="11"/>
  <c r="E11" i="11"/>
  <c r="D11" i="11"/>
  <c r="D26" i="11" s="1"/>
  <c r="H10" i="11"/>
  <c r="H25" i="11" s="1"/>
  <c r="G10" i="11"/>
  <c r="G25" i="11" s="1"/>
  <c r="F10" i="11"/>
  <c r="F25" i="11" s="1"/>
  <c r="E10" i="11"/>
  <c r="H9" i="11"/>
  <c r="G9" i="11"/>
  <c r="F9" i="11"/>
  <c r="E9" i="11"/>
  <c r="D10" i="11"/>
  <c r="D9" i="11"/>
  <c r="C13" i="11"/>
  <c r="C12" i="11"/>
  <c r="C11" i="11"/>
  <c r="C10" i="11"/>
  <c r="C9" i="11"/>
  <c r="H6" i="11"/>
  <c r="H7" i="11" s="1"/>
  <c r="G6" i="11"/>
  <c r="G7" i="11" s="1"/>
  <c r="F6" i="11"/>
  <c r="F7" i="11" s="1"/>
  <c r="E6" i="11"/>
  <c r="E7" i="11" s="1"/>
  <c r="D6" i="11"/>
  <c r="D7" i="11" s="1"/>
  <c r="H5" i="11"/>
  <c r="H20" i="11" s="1"/>
  <c r="G5" i="11"/>
  <c r="F5" i="11"/>
  <c r="E5" i="11"/>
  <c r="D5" i="11"/>
  <c r="H4" i="11"/>
  <c r="G4" i="11"/>
  <c r="F4" i="11"/>
  <c r="E4" i="11"/>
  <c r="D4" i="11"/>
  <c r="H3" i="11"/>
  <c r="H18" i="11" s="1"/>
  <c r="G3" i="11"/>
  <c r="G18" i="11" s="1"/>
  <c r="F3" i="11"/>
  <c r="E3" i="11"/>
  <c r="E18" i="11" s="1"/>
  <c r="D3" i="11"/>
  <c r="C4" i="11"/>
  <c r="C5" i="11"/>
  <c r="C7" i="11"/>
  <c r="C6" i="11"/>
  <c r="C3" i="11"/>
  <c r="E35" i="12" l="1"/>
  <c r="D35" i="12"/>
  <c r="D42" i="12" s="1"/>
  <c r="F35" i="12"/>
  <c r="F42" i="12" s="1"/>
  <c r="G35" i="12"/>
  <c r="G42" i="12" s="1"/>
  <c r="C35" i="12"/>
  <c r="C43" i="12" s="1"/>
  <c r="E42" i="12"/>
  <c r="G5" i="12"/>
  <c r="G16" i="12" s="1"/>
  <c r="D10" i="12"/>
  <c r="L4" i="12"/>
  <c r="L5" i="12" s="1"/>
  <c r="B17" i="12"/>
  <c r="L11" i="12"/>
  <c r="Q15" i="12" s="1"/>
  <c r="E16" i="12"/>
  <c r="F16" i="12"/>
  <c r="C16" i="12"/>
  <c r="D16" i="12"/>
  <c r="F22" i="11"/>
  <c r="E22" i="11"/>
  <c r="G22" i="11"/>
  <c r="F26" i="11"/>
  <c r="H22" i="11"/>
  <c r="E26" i="11"/>
  <c r="G26" i="11"/>
  <c r="D19" i="11"/>
  <c r="F19" i="11"/>
  <c r="H19" i="11"/>
  <c r="D20" i="11"/>
  <c r="F27" i="11"/>
  <c r="G27" i="11"/>
  <c r="G19" i="11"/>
  <c r="E20" i="11"/>
  <c r="F20" i="11"/>
  <c r="E19" i="11"/>
  <c r="G20" i="11"/>
  <c r="F24" i="11"/>
  <c r="H28" i="11"/>
  <c r="E27" i="11"/>
  <c r="D24" i="11"/>
  <c r="D25" i="11"/>
  <c r="D18" i="11"/>
  <c r="E24" i="11"/>
  <c r="H26" i="11"/>
  <c r="E21" i="11"/>
  <c r="H27" i="11"/>
  <c r="G24" i="11"/>
  <c r="G29" i="11" s="1"/>
  <c r="H24" i="11"/>
  <c r="E28" i="11"/>
  <c r="F21" i="11"/>
  <c r="D27" i="11"/>
  <c r="D22" i="11"/>
  <c r="E25" i="11"/>
  <c r="F28" i="11"/>
  <c r="D28" i="11"/>
  <c r="H21" i="11"/>
  <c r="G21" i="11"/>
  <c r="F18" i="11"/>
  <c r="D21" i="11"/>
  <c r="D43" i="12" l="1"/>
  <c r="E43" i="12" s="1"/>
  <c r="F43" i="12" s="1"/>
  <c r="G43" i="12" s="1"/>
  <c r="Q4" i="12"/>
  <c r="L19" i="12"/>
  <c r="L18" i="12" s="1"/>
  <c r="M9" i="12"/>
  <c r="M4" i="12"/>
  <c r="M15" i="12"/>
  <c r="N4" i="12"/>
  <c r="N15" i="12"/>
  <c r="C17" i="12"/>
  <c r="D17" i="12" s="1"/>
  <c r="E17" i="12" s="1"/>
  <c r="F17" i="12" s="1"/>
  <c r="G17" i="12" s="1"/>
  <c r="P4" i="12"/>
  <c r="P15" i="12"/>
  <c r="O4" i="12"/>
  <c r="O15" i="12"/>
  <c r="L15" i="12"/>
  <c r="L16" i="12" s="1"/>
  <c r="M16" i="12" s="1"/>
  <c r="N16" i="12" s="1"/>
  <c r="M5" i="12"/>
  <c r="H23" i="11"/>
  <c r="F29" i="11"/>
  <c r="H29" i="11"/>
  <c r="E23" i="11"/>
  <c r="G23" i="11"/>
  <c r="E29" i="11"/>
  <c r="F23" i="11"/>
  <c r="F30" i="11" s="1"/>
  <c r="H30" i="11"/>
  <c r="D23" i="11"/>
  <c r="D29" i="11"/>
  <c r="G30" i="11"/>
  <c r="O16" i="12" l="1"/>
  <c r="P16" i="12" s="1"/>
  <c r="Q16" i="12" s="1"/>
  <c r="N5" i="12"/>
  <c r="O5" i="12" s="1"/>
  <c r="P5" i="12" s="1"/>
  <c r="Q5" i="12" s="1"/>
  <c r="B19" i="12"/>
  <c r="L9" i="12"/>
  <c r="E30" i="11"/>
  <c r="D30" i="11"/>
  <c r="L7" i="12" l="1"/>
  <c r="G24" i="9" l="1"/>
  <c r="G23" i="9"/>
  <c r="C30" i="9"/>
  <c r="C26" i="9" s="1"/>
  <c r="C21" i="9"/>
  <c r="C27" i="9"/>
  <c r="C28" i="9"/>
  <c r="C24" i="9"/>
  <c r="C22" i="9"/>
  <c r="L4" i="7"/>
  <c r="C32" i="9" l="1"/>
  <c r="G10" i="9" l="1"/>
  <c r="G9" i="9"/>
  <c r="G8" i="9"/>
  <c r="G7" i="9"/>
  <c r="G6" i="9"/>
  <c r="G5" i="9"/>
  <c r="F10" i="9"/>
  <c r="F9" i="9"/>
  <c r="F8" i="9"/>
  <c r="F7" i="9"/>
  <c r="F6" i="9"/>
  <c r="F5" i="9"/>
  <c r="E9" i="9"/>
  <c r="E8" i="9"/>
  <c r="E7" i="9"/>
  <c r="E6" i="9"/>
  <c r="E5" i="9"/>
  <c r="D10" i="9"/>
  <c r="D9" i="9"/>
  <c r="D8" i="9"/>
  <c r="D7" i="9"/>
  <c r="D6" i="9"/>
  <c r="D5" i="9"/>
  <c r="C10" i="9"/>
  <c r="C31" i="9" s="1"/>
  <c r="C9" i="9"/>
  <c r="C8" i="9"/>
  <c r="C23" i="9" s="1"/>
  <c r="C7" i="9"/>
  <c r="C6" i="9"/>
  <c r="C29" i="9" s="1"/>
  <c r="C5" i="9"/>
  <c r="E28" i="10"/>
  <c r="F27" i="10"/>
  <c r="G27" i="10"/>
  <c r="H27" i="10"/>
  <c r="I27" i="10"/>
  <c r="E27" i="10"/>
  <c r="J30" i="10"/>
  <c r="C7" i="10"/>
  <c r="D7" i="10" s="1"/>
  <c r="F27" i="3"/>
  <c r="J11" i="3"/>
  <c r="K13" i="3"/>
  <c r="D12" i="3"/>
  <c r="D28" i="10"/>
  <c r="D27" i="10"/>
  <c r="D26" i="10"/>
  <c r="C18" i="10"/>
  <c r="E18" i="10" s="1"/>
  <c r="C16" i="10"/>
  <c r="E6" i="10"/>
  <c r="E8" i="10" s="1"/>
  <c r="C17" i="10"/>
  <c r="D4" i="10"/>
  <c r="R7" i="6"/>
  <c r="P7" i="6"/>
  <c r="T6" i="6"/>
  <c r="S6" i="6"/>
  <c r="U6" i="6" s="1"/>
  <c r="V6" i="6" s="1"/>
  <c r="T5" i="6"/>
  <c r="S5" i="6"/>
  <c r="U5" i="6" s="1"/>
  <c r="V5" i="6" s="1"/>
  <c r="T4" i="6"/>
  <c r="S4" i="6"/>
  <c r="S7" i="6" s="1"/>
  <c r="C25" i="9" l="1"/>
  <c r="E4" i="9"/>
  <c r="C4" i="9"/>
  <c r="F4" i="9"/>
  <c r="D4" i="9"/>
  <c r="G4" i="9"/>
  <c r="C8" i="10"/>
  <c r="C32" i="10"/>
  <c r="J32" i="10"/>
  <c r="C27" i="10"/>
  <c r="E17" i="10"/>
  <c r="C19" i="10"/>
  <c r="F28" i="10"/>
  <c r="H28" i="10"/>
  <c r="G28" i="10"/>
  <c r="E9" i="10"/>
  <c r="C26" i="10"/>
  <c r="C28" i="10"/>
  <c r="E16" i="10"/>
  <c r="D5" i="10"/>
  <c r="D8" i="10" s="1"/>
  <c r="D9" i="10" s="1"/>
  <c r="U4" i="6"/>
  <c r="V4" i="6" s="1"/>
  <c r="T7" i="6"/>
  <c r="V7" i="6"/>
  <c r="U7" i="6"/>
  <c r="J27" i="10" l="1"/>
  <c r="J28" i="10"/>
  <c r="I29" i="10"/>
  <c r="F26" i="10"/>
  <c r="E19" i="10"/>
  <c r="E26" i="10"/>
  <c r="E29" i="10" s="1"/>
  <c r="H26" i="10"/>
  <c r="H29" i="10" s="1"/>
  <c r="G26" i="10"/>
  <c r="G29" i="10" s="1"/>
  <c r="C29" i="10"/>
  <c r="C31" i="10" l="1"/>
  <c r="F29" i="10"/>
  <c r="J29" i="10" s="1"/>
  <c r="J26" i="10"/>
  <c r="E31" i="10"/>
  <c r="C33" i="10"/>
  <c r="F31" i="10" l="1"/>
  <c r="E33" i="10"/>
  <c r="G31" i="10" l="1"/>
  <c r="F33" i="10"/>
  <c r="G33" i="10" l="1"/>
  <c r="H31" i="10"/>
  <c r="I31" i="10" l="1"/>
  <c r="J31" i="10" s="1"/>
  <c r="J33" i="10" l="1"/>
  <c r="D32" i="6" l="1"/>
  <c r="E31" i="6"/>
  <c r="E30" i="6"/>
  <c r="E29" i="6"/>
  <c r="E28" i="6"/>
  <c r="E27" i="6"/>
  <c r="E26" i="6"/>
  <c r="I21" i="6"/>
  <c r="J20" i="6"/>
  <c r="J19" i="6"/>
  <c r="J18" i="6"/>
  <c r="J17" i="6"/>
  <c r="J16" i="6"/>
  <c r="J15" i="6"/>
  <c r="D21" i="6"/>
  <c r="E20" i="6"/>
  <c r="E19" i="6"/>
  <c r="E18" i="6"/>
  <c r="E17" i="6"/>
  <c r="E16" i="6"/>
  <c r="E15" i="6"/>
  <c r="I10" i="6"/>
  <c r="J9" i="6"/>
  <c r="J8" i="6"/>
  <c r="J7" i="6"/>
  <c r="J6" i="6"/>
  <c r="J5" i="6"/>
  <c r="J4" i="6"/>
  <c r="I18" i="7"/>
  <c r="G18" i="7" s="1"/>
  <c r="G5" i="7" s="1"/>
  <c r="G6" i="7" s="1"/>
  <c r="C13" i="7"/>
  <c r="C7" i="7" s="1"/>
  <c r="F19" i="7" s="1"/>
  <c r="E32" i="6" l="1"/>
  <c r="J21" i="6"/>
  <c r="E21" i="6"/>
  <c r="J10" i="6"/>
  <c r="F20" i="7"/>
  <c r="G19" i="7"/>
  <c r="H19" i="7" s="1"/>
  <c r="I19" i="7" s="1"/>
  <c r="F7" i="7"/>
  <c r="F21" i="7" l="1"/>
  <c r="G20" i="7"/>
  <c r="H20" i="7" s="1"/>
  <c r="I20" i="7" s="1"/>
  <c r="G21" i="7" l="1"/>
  <c r="H21" i="7" s="1"/>
  <c r="I21" i="7" s="1"/>
  <c r="F22" i="7"/>
  <c r="G22" i="7" l="1"/>
  <c r="H22" i="7" s="1"/>
  <c r="I22" i="7" s="1"/>
  <c r="F23" i="7"/>
  <c r="G23" i="7" l="1"/>
  <c r="H23" i="7" s="1"/>
  <c r="I23" i="7" s="1"/>
  <c r="F24" i="7"/>
  <c r="G24" i="7" l="1"/>
  <c r="H24" i="7" s="1"/>
  <c r="I24" i="7" s="1"/>
  <c r="F25" i="7"/>
  <c r="G25" i="7" l="1"/>
  <c r="H25" i="7" s="1"/>
  <c r="I25" i="7" s="1"/>
  <c r="F26" i="7"/>
  <c r="G26" i="7" l="1"/>
  <c r="H26" i="7" s="1"/>
  <c r="I26" i="7" s="1"/>
  <c r="F27" i="7"/>
  <c r="G27" i="7" l="1"/>
  <c r="H27" i="7" s="1"/>
  <c r="I27" i="7" s="1"/>
  <c r="F28" i="7"/>
  <c r="G28" i="7" l="1"/>
  <c r="H28" i="7" s="1"/>
  <c r="I28" i="7" s="1"/>
  <c r="F29" i="7"/>
  <c r="G29" i="7" l="1"/>
  <c r="H29" i="7" s="1"/>
  <c r="I29" i="7" s="1"/>
  <c r="F30" i="7"/>
  <c r="G30" i="7" l="1"/>
  <c r="H30" i="7" s="1"/>
  <c r="I30" i="7" s="1"/>
  <c r="F31" i="7"/>
  <c r="G31" i="7" l="1"/>
  <c r="H31" i="7" s="1"/>
  <c r="I31" i="7" s="1"/>
  <c r="F32" i="7"/>
  <c r="G32" i="7" l="1"/>
  <c r="H32" i="7" s="1"/>
  <c r="I32" i="7" s="1"/>
  <c r="F33" i="7"/>
  <c r="G33" i="7" l="1"/>
  <c r="H33" i="7" s="1"/>
  <c r="I33" i="7" s="1"/>
  <c r="F34" i="7"/>
  <c r="G34" i="7" l="1"/>
  <c r="H34" i="7" s="1"/>
  <c r="I34" i="7" s="1"/>
  <c r="F35" i="7"/>
  <c r="G35" i="7" l="1"/>
  <c r="H35" i="7" s="1"/>
  <c r="I35" i="7" s="1"/>
  <c r="F36" i="7"/>
  <c r="G36" i="7" l="1"/>
  <c r="H36" i="7" s="1"/>
  <c r="I36" i="7" s="1"/>
  <c r="F37" i="7"/>
  <c r="G37" i="7" l="1"/>
  <c r="H37" i="7"/>
  <c r="I37" i="7" s="1"/>
  <c r="F38" i="7"/>
  <c r="H4" i="7"/>
  <c r="H6" i="7" l="1"/>
  <c r="G38" i="7"/>
  <c r="H38" i="7" s="1"/>
  <c r="I38" i="7" s="1"/>
  <c r="F39" i="7"/>
  <c r="G39" i="7" l="1"/>
  <c r="H39" i="7" s="1"/>
  <c r="I39" i="7" s="1"/>
  <c r="F40" i="7"/>
  <c r="G40" i="7" l="1"/>
  <c r="H40" i="7" s="1"/>
  <c r="I40" i="7" s="1"/>
  <c r="F41" i="7"/>
  <c r="G41" i="7" l="1"/>
  <c r="H41" i="7" s="1"/>
  <c r="I41" i="7" s="1"/>
  <c r="F42" i="7"/>
  <c r="G42" i="7" l="1"/>
  <c r="H42" i="7" s="1"/>
  <c r="I42" i="7" s="1"/>
  <c r="F43" i="7"/>
  <c r="G43" i="7" l="1"/>
  <c r="H43" i="7" s="1"/>
  <c r="I43" i="7" s="1"/>
  <c r="F44" i="7"/>
  <c r="G44" i="7" l="1"/>
  <c r="H44" i="7" s="1"/>
  <c r="I44" i="7" s="1"/>
  <c r="F45" i="7"/>
  <c r="G45" i="7" l="1"/>
  <c r="H45" i="7" s="1"/>
  <c r="I45" i="7" s="1"/>
  <c r="F46" i="7"/>
  <c r="G46" i="7" l="1"/>
  <c r="H46" i="7" s="1"/>
  <c r="I46" i="7" s="1"/>
  <c r="F47" i="7"/>
  <c r="G47" i="7" l="1"/>
  <c r="H47" i="7" s="1"/>
  <c r="I47" i="7" s="1"/>
  <c r="F48" i="7"/>
  <c r="G48" i="7" l="1"/>
  <c r="H48" i="7" s="1"/>
  <c r="I48" i="7" s="1"/>
  <c r="F49" i="7"/>
  <c r="G49" i="7" l="1"/>
  <c r="H49" i="7" s="1"/>
  <c r="I49" i="7" s="1"/>
  <c r="F50" i="7"/>
  <c r="G50" i="7" l="1"/>
  <c r="H50" i="7" s="1"/>
  <c r="I50" i="7" s="1"/>
  <c r="F51" i="7"/>
  <c r="G51" i="7" l="1"/>
  <c r="H51" i="7" s="1"/>
  <c r="I51" i="7" s="1"/>
  <c r="F52" i="7"/>
  <c r="G52" i="7" l="1"/>
  <c r="H52" i="7" s="1"/>
  <c r="I52" i="7" s="1"/>
  <c r="F53" i="7"/>
  <c r="G53" i="7" l="1"/>
  <c r="H53" i="7" s="1"/>
  <c r="I53" i="7" s="1"/>
  <c r="F54" i="7"/>
  <c r="G54" i="7" l="1"/>
  <c r="H54" i="7" s="1"/>
  <c r="I54" i="7" s="1"/>
  <c r="F55" i="7"/>
  <c r="G55" i="7" l="1"/>
  <c r="H55" i="7"/>
  <c r="I55" i="7" s="1"/>
  <c r="F56" i="7"/>
  <c r="G56" i="7" l="1"/>
  <c r="H56" i="7" s="1"/>
  <c r="I56" i="7" s="1"/>
  <c r="F57" i="7"/>
  <c r="I5" i="7"/>
  <c r="G57" i="7" l="1"/>
  <c r="H57" i="7" s="1"/>
  <c r="I57" i="7" s="1"/>
  <c r="F58" i="7"/>
  <c r="I4" i="7"/>
  <c r="I6" i="7" l="1"/>
  <c r="G58" i="7"/>
  <c r="H58" i="7" s="1"/>
  <c r="I58" i="7" s="1"/>
  <c r="F59" i="7"/>
  <c r="G59" i="7" l="1"/>
  <c r="H59" i="7" s="1"/>
  <c r="I59" i="7" s="1"/>
  <c r="F60" i="7"/>
  <c r="G60" i="7" l="1"/>
  <c r="H60" i="7" s="1"/>
  <c r="I60" i="7" s="1"/>
  <c r="F61" i="7"/>
  <c r="D10" i="6"/>
  <c r="E5" i="6"/>
  <c r="E6" i="6"/>
  <c r="E7" i="6"/>
  <c r="E8" i="6"/>
  <c r="E9" i="6"/>
  <c r="E4" i="6"/>
  <c r="G30" i="5"/>
  <c r="H29" i="5"/>
  <c r="I29" i="5" s="1"/>
  <c r="H28" i="5"/>
  <c r="H30" i="5" s="1"/>
  <c r="G24" i="5"/>
  <c r="H23" i="5"/>
  <c r="I23" i="5" s="1"/>
  <c r="H22" i="5"/>
  <c r="G17" i="5"/>
  <c r="G11" i="5"/>
  <c r="G6" i="5"/>
  <c r="H16" i="5"/>
  <c r="I16" i="5" s="1"/>
  <c r="H15" i="5"/>
  <c r="H10" i="5"/>
  <c r="I10" i="5" s="1"/>
  <c r="H9" i="5"/>
  <c r="I9" i="5" s="1"/>
  <c r="I11" i="5" s="1"/>
  <c r="D3" i="9" s="1"/>
  <c r="D11" i="9" s="1"/>
  <c r="D14" i="9" s="1"/>
  <c r="I4" i="5"/>
  <c r="I6" i="5" s="1"/>
  <c r="C3" i="9" s="1"/>
  <c r="C11" i="9" s="1"/>
  <c r="C14" i="9" s="1"/>
  <c r="H5" i="5"/>
  <c r="I5" i="5" s="1"/>
  <c r="H4" i="5"/>
  <c r="D26" i="3"/>
  <c r="F26" i="3" s="1"/>
  <c r="F25" i="3"/>
  <c r="F18" i="3"/>
  <c r="F19" i="3"/>
  <c r="F20" i="3"/>
  <c r="F21" i="3"/>
  <c r="F22" i="3"/>
  <c r="F23" i="3"/>
  <c r="F24" i="3"/>
  <c r="F17" i="3"/>
  <c r="C15" i="9" l="1"/>
  <c r="C16" i="9" s="1"/>
  <c r="D15" i="9"/>
  <c r="D16" i="9" s="1"/>
  <c r="H6" i="5"/>
  <c r="H11" i="5"/>
  <c r="E10" i="6"/>
  <c r="G61" i="7"/>
  <c r="H61" i="7" s="1"/>
  <c r="I61" i="7" s="1"/>
  <c r="F62" i="7"/>
  <c r="I28" i="5"/>
  <c r="I30" i="5" s="1"/>
  <c r="G3" i="9" s="1"/>
  <c r="G11" i="9" s="1"/>
  <c r="G14" i="9" s="1"/>
  <c r="H24" i="5"/>
  <c r="I22" i="5"/>
  <c r="I24" i="5" s="1"/>
  <c r="F3" i="9" s="1"/>
  <c r="F11" i="9" s="1"/>
  <c r="F14" i="9" s="1"/>
  <c r="H17" i="5"/>
  <c r="I15" i="5"/>
  <c r="I17" i="5" s="1"/>
  <c r="E3" i="9" s="1"/>
  <c r="E11" i="9" s="1"/>
  <c r="E14" i="9" s="1"/>
  <c r="E15" i="9" l="1"/>
  <c r="E16" i="9"/>
  <c r="G15" i="9"/>
  <c r="G16" i="9" s="1"/>
  <c r="F15" i="9"/>
  <c r="F16" i="9" s="1"/>
  <c r="G62" i="7"/>
  <c r="H62" i="7" s="1"/>
  <c r="I62" i="7" s="1"/>
  <c r="F63" i="7"/>
  <c r="G63" i="7" l="1"/>
  <c r="H63" i="7" s="1"/>
  <c r="I63" i="7" s="1"/>
  <c r="F64" i="7"/>
  <c r="G64" i="7" l="1"/>
  <c r="H64" i="7"/>
  <c r="I64" i="7" s="1"/>
  <c r="F65" i="7"/>
  <c r="G65" i="7" l="1"/>
  <c r="H65" i="7" s="1"/>
  <c r="I65" i="7" s="1"/>
  <c r="F66" i="7"/>
  <c r="G66" i="7" l="1"/>
  <c r="H66" i="7"/>
  <c r="I66" i="7" s="1"/>
  <c r="F67" i="7"/>
  <c r="G67" i="7" l="1"/>
  <c r="H67" i="7" s="1"/>
  <c r="I67" i="7" s="1"/>
  <c r="F68" i="7"/>
  <c r="G68" i="7" l="1"/>
  <c r="H68" i="7" s="1"/>
  <c r="I68" i="7" s="1"/>
  <c r="F69" i="7"/>
  <c r="G69" i="7" l="1"/>
  <c r="H69" i="7" s="1"/>
  <c r="I69" i="7" s="1"/>
  <c r="F70" i="7"/>
  <c r="G70" i="7" l="1"/>
  <c r="H70" i="7" s="1"/>
  <c r="I70" i="7" s="1"/>
  <c r="F71" i="7"/>
  <c r="G71" i="7" l="1"/>
  <c r="F72" i="7"/>
  <c r="H71" i="7"/>
  <c r="I71" i="7" s="1"/>
  <c r="G72" i="7" l="1"/>
  <c r="F73" i="7"/>
  <c r="H72" i="7"/>
  <c r="I72" i="7" s="1"/>
  <c r="G73" i="7" l="1"/>
  <c r="H73" i="7" s="1"/>
  <c r="I73" i="7" s="1"/>
  <c r="F74" i="7"/>
  <c r="G74" i="7" l="1"/>
  <c r="H74" i="7"/>
  <c r="I74" i="7" s="1"/>
  <c r="F75" i="7"/>
  <c r="J5" i="7"/>
  <c r="G75" i="7" l="1"/>
  <c r="H75" i="7" s="1"/>
  <c r="I75" i="7" s="1"/>
  <c r="F76" i="7"/>
  <c r="J4" i="7"/>
  <c r="J6" i="7" l="1"/>
  <c r="G76" i="7"/>
  <c r="H76" i="7" s="1"/>
  <c r="I76" i="7" s="1"/>
  <c r="F77" i="7"/>
  <c r="G77" i="7" l="1"/>
  <c r="H77" i="7" s="1"/>
  <c r="I77" i="7" s="1"/>
  <c r="F78" i="7"/>
  <c r="G78" i="7" l="1"/>
  <c r="H78" i="7"/>
  <c r="I78" i="7" s="1"/>
  <c r="K5" i="7" l="1"/>
  <c r="K4" i="7" l="1"/>
  <c r="K6" i="7" l="1"/>
  <c r="L5" i="7" l="1"/>
  <c r="M5" i="7" s="1"/>
  <c r="L6" i="7" l="1"/>
  <c r="M6" i="7" s="1"/>
  <c r="M4" i="7"/>
</calcChain>
</file>

<file path=xl/sharedStrings.xml><?xml version="1.0" encoding="utf-8"?>
<sst xmlns="http://schemas.openxmlformats.org/spreadsheetml/2006/main" count="386" uniqueCount="203">
  <si>
    <t>Usluga</t>
  </si>
  <si>
    <t>Jedinica mjere</t>
  </si>
  <si>
    <t>Jedinična cijena</t>
  </si>
  <si>
    <t>Ukupni mjesečni prihodi</t>
  </si>
  <si>
    <t>Ukupni godišnji prihodi</t>
  </si>
  <si>
    <t>Pakiranje</t>
  </si>
  <si>
    <t>Dostava paketa</t>
  </si>
  <si>
    <t>Naziv opreme</t>
  </si>
  <si>
    <t>Količina</t>
  </si>
  <si>
    <t>Iznos</t>
  </si>
  <si>
    <t>Kartonske kutije</t>
  </si>
  <si>
    <t>Folija</t>
  </si>
  <si>
    <t>Ljepljive trake</t>
  </si>
  <si>
    <t>Naljepnice</t>
  </si>
  <si>
    <t>Kombi</t>
  </si>
  <si>
    <t>Trošak registracije društva</t>
  </si>
  <si>
    <t>Preuređenje objekta</t>
  </si>
  <si>
    <t>Nabava opreme</t>
  </si>
  <si>
    <t>Ostali troškovi</t>
  </si>
  <si>
    <t>Ukupno</t>
  </si>
  <si>
    <t>Automatski pakirni stroj</t>
  </si>
  <si>
    <t>Ručni paletni viličar</t>
  </si>
  <si>
    <t>Transportna traka</t>
  </si>
  <si>
    <t>Ostala oprema</t>
  </si>
  <si>
    <t>Trošak osnivačkog ulaganja</t>
  </si>
  <si>
    <t>Cijena (€)</t>
  </si>
  <si>
    <t>Pravni troškovi i notarski honorari</t>
  </si>
  <si>
    <t>Trošak registracije u Trgovačkom sudu</t>
  </si>
  <si>
    <t>Trošak za izradu pečata i dokumentacije</t>
  </si>
  <si>
    <t>Trošak oglašavanja u medijima i web stranici</t>
  </si>
  <si>
    <t>Ostali operativni troškovi</t>
  </si>
  <si>
    <t>SVEUKUPNO TROŠKOVI</t>
  </si>
  <si>
    <t>Trošak investicije</t>
  </si>
  <si>
    <t>Ostali troškovi (marketing, edukacija, materijali)</t>
  </si>
  <si>
    <t>Ukupna investicija</t>
  </si>
  <si>
    <t>IT oprema (računala, softver)</t>
  </si>
  <si>
    <t>-</t>
  </si>
  <si>
    <t>Iznos (€)</t>
  </si>
  <si>
    <t>Broj paketa</t>
  </si>
  <si>
    <t>2026</t>
  </si>
  <si>
    <t>2027</t>
  </si>
  <si>
    <t>2028</t>
  </si>
  <si>
    <t>2029</t>
  </si>
  <si>
    <t>2030</t>
  </si>
  <si>
    <t>Mjesečni trošak</t>
  </si>
  <si>
    <t>Godišnji trošak</t>
  </si>
  <si>
    <t>Troškovi energenata</t>
  </si>
  <si>
    <t>Servisiranje</t>
  </si>
  <si>
    <t>Oglašavanje</t>
  </si>
  <si>
    <t>Plaće</t>
  </si>
  <si>
    <t>Materijali za pakiranje</t>
  </si>
  <si>
    <t>UKUPNO</t>
  </si>
  <si>
    <t>Kredit</t>
  </si>
  <si>
    <t>Poček</t>
  </si>
  <si>
    <t>Otplata kredita</t>
  </si>
  <si>
    <t>Naknada za obradu kredita</t>
  </si>
  <si>
    <t>Visina anuiteta</t>
  </si>
  <si>
    <t xml:space="preserve">Godišnja kamatna stopa </t>
  </si>
  <si>
    <t>Broj anuiteta</t>
  </si>
  <si>
    <t>Visina zajma</t>
  </si>
  <si>
    <t>Prenumerando (1) ili postnumeradno (0)</t>
  </si>
  <si>
    <t>Broj ukamaćivanja tijekom godine - m</t>
  </si>
  <si>
    <t>Relativna kamatna stopa</t>
  </si>
  <si>
    <t>Broj godina počeka</t>
  </si>
  <si>
    <t>Godina</t>
  </si>
  <si>
    <t>Anuitet</t>
  </si>
  <si>
    <t>Kamate</t>
  </si>
  <si>
    <t>Otplatna kvota</t>
  </si>
  <si>
    <t>Ostatak duga</t>
  </si>
  <si>
    <t>4%</t>
  </si>
  <si>
    <t>Godišnje</t>
  </si>
  <si>
    <t>Otplata</t>
  </si>
  <si>
    <t>2031</t>
  </si>
  <si>
    <t>Osnivačka ulaganja</t>
  </si>
  <si>
    <t>Oprema</t>
  </si>
  <si>
    <t>Vlastita sredstva</t>
  </si>
  <si>
    <t>Amortizacija</t>
  </si>
  <si>
    <t>Prihodi</t>
  </si>
  <si>
    <t>EBITDA</t>
  </si>
  <si>
    <t>Naziv radnog mjesta</t>
  </si>
  <si>
    <t>KV. Struktura</t>
  </si>
  <si>
    <t>Neto plaća po zaposleniku</t>
  </si>
  <si>
    <t>Bruto plaća po zaposleniku</t>
  </si>
  <si>
    <t>Neto plaća</t>
  </si>
  <si>
    <t>Bruto plaća</t>
  </si>
  <si>
    <t>Ukupna godišnja plaća</t>
  </si>
  <si>
    <t>NSS</t>
  </si>
  <si>
    <t>VŠS</t>
  </si>
  <si>
    <t>UKUPNO:</t>
  </si>
  <si>
    <t>Broj zaposlenih</t>
  </si>
  <si>
    <t>Radnik u skladištu</t>
  </si>
  <si>
    <t>Vozač</t>
  </si>
  <si>
    <t>Administrativni djelatnik</t>
  </si>
  <si>
    <t>1.</t>
  </si>
  <si>
    <t>2.</t>
  </si>
  <si>
    <t>3.</t>
  </si>
  <si>
    <t>Struktura ulaganja</t>
  </si>
  <si>
    <t>Opis</t>
  </si>
  <si>
    <t>A. Ulaganje u osnovna sredstva</t>
  </si>
  <si>
    <t>Građevinski objekt</t>
  </si>
  <si>
    <t>B. Ulaganje u trajna obrtna sredstva</t>
  </si>
  <si>
    <t>C. Ukupan iznos ulaganja</t>
  </si>
  <si>
    <t>Ulaganje</t>
  </si>
  <si>
    <t>Obračun amortizacije</t>
  </si>
  <si>
    <t>Postotak amortizacije</t>
  </si>
  <si>
    <t>Amortizacije</t>
  </si>
  <si>
    <t>Ukupan iznos amortizacije</t>
  </si>
  <si>
    <t>Prikaz amortizacije</t>
  </si>
  <si>
    <t>Red.br.</t>
  </si>
  <si>
    <t>NAZIV</t>
  </si>
  <si>
    <t>Nabavna vrijednost investicije</t>
  </si>
  <si>
    <t>Stopa otpisa</t>
  </si>
  <si>
    <t>OVP</t>
  </si>
  <si>
    <t>A</t>
  </si>
  <si>
    <t>INVESTICIJA</t>
  </si>
  <si>
    <t xml:space="preserve">Oprema </t>
  </si>
  <si>
    <t>B</t>
  </si>
  <si>
    <t>SVEUKUPNO</t>
  </si>
  <si>
    <t>C</t>
  </si>
  <si>
    <t>OST. VRIJED. PROJEKTA</t>
  </si>
  <si>
    <t>Osnovna sred.</t>
  </si>
  <si>
    <t>TOBS</t>
  </si>
  <si>
    <t>Temeljni kapital za otvaranje d.o.o</t>
  </si>
  <si>
    <t>Kupnja skladišta</t>
  </si>
  <si>
    <t>Godine rada projekta</t>
  </si>
  <si>
    <t>Rashodi Ukupno</t>
  </si>
  <si>
    <t>RDG</t>
  </si>
  <si>
    <t>Dobit prije poreza</t>
  </si>
  <si>
    <t>Porez(20%)</t>
  </si>
  <si>
    <t>Neto dobit</t>
  </si>
  <si>
    <t>1.   FIKSNI TROŠKOVI</t>
  </si>
  <si>
    <t>Trošak plaća (k+r)</t>
  </si>
  <si>
    <t>2.   VARIJABILNI TROŠKOVI:</t>
  </si>
  <si>
    <t>Ostali troškovi usluga</t>
  </si>
  <si>
    <t xml:space="preserve">3.   UKUPNI TROŠKOVI:          </t>
  </si>
  <si>
    <t>Ocjena osjetljivosti projekta (2026)</t>
  </si>
  <si>
    <t>Trošak energije(40%)</t>
  </si>
  <si>
    <t>Trošak energije(60%)</t>
  </si>
  <si>
    <t>Trošak servisiranja</t>
  </si>
  <si>
    <t>Trošak materijala za pakiranje</t>
  </si>
  <si>
    <t>Trošak oglašavanja</t>
  </si>
  <si>
    <t>Gmin</t>
  </si>
  <si>
    <t>Jmin</t>
  </si>
  <si>
    <t>Potreban TOBS</t>
  </si>
  <si>
    <t>Stavka</t>
  </si>
  <si>
    <t>DV</t>
  </si>
  <si>
    <t>KO</t>
  </si>
  <si>
    <t>Ukupna svota</t>
  </si>
  <si>
    <t>Kupci</t>
  </si>
  <si>
    <t>Novac</t>
  </si>
  <si>
    <t>Dobavljači</t>
  </si>
  <si>
    <t>Porezi</t>
  </si>
  <si>
    <t>Rashodi financiranja</t>
  </si>
  <si>
    <t>Ukupna potrebna sredstva</t>
  </si>
  <si>
    <t>Izvori iz poslovanja</t>
  </si>
  <si>
    <t>TRAJNA OBRTNA SREDSTVA</t>
  </si>
  <si>
    <t>Potreban iznos</t>
  </si>
  <si>
    <t>Column1</t>
  </si>
  <si>
    <t>Column2</t>
  </si>
  <si>
    <t>Rentabilnost projekta</t>
  </si>
  <si>
    <t>EKONOMSKI TOK</t>
  </si>
  <si>
    <t>OPIS</t>
  </si>
  <si>
    <t>I PRIMICI</t>
  </si>
  <si>
    <t>Ukupni prihod</t>
  </si>
  <si>
    <t>Ostatak vrijednosti projekta</t>
  </si>
  <si>
    <t>Osnovnih sredstava</t>
  </si>
  <si>
    <t>Obrtnih sredstava</t>
  </si>
  <si>
    <t>II IZDACI</t>
  </si>
  <si>
    <t>Angažirana OS</t>
  </si>
  <si>
    <t>Angažirana TOBS</t>
  </si>
  <si>
    <t>Troškovi materijala i usluga</t>
  </si>
  <si>
    <t>Izdaci za osoblje</t>
  </si>
  <si>
    <t>III NETO PRIMICI</t>
  </si>
  <si>
    <t>IV KUMULATIV NETO PRIMITKA</t>
  </si>
  <si>
    <t>Vrijeme povrata</t>
  </si>
  <si>
    <t>Proračun diskontiranog povrata sredstava</t>
  </si>
  <si>
    <t>Diskontna stopa</t>
  </si>
  <si>
    <t>Godina projekta</t>
  </si>
  <si>
    <t>DNT</t>
  </si>
  <si>
    <t>Kumulativ DNT</t>
  </si>
  <si>
    <t>Diskontirano vrijeme povrata</t>
  </si>
  <si>
    <t>NPV(4%)</t>
  </si>
  <si>
    <t>IRR</t>
  </si>
  <si>
    <t>Provjera interne stope rentabilnosti</t>
  </si>
  <si>
    <t>Indeks profitabilnosti</t>
  </si>
  <si>
    <t>Suma DNT(4%)</t>
  </si>
  <si>
    <t>2025</t>
  </si>
  <si>
    <t>Likvidnost projekta</t>
  </si>
  <si>
    <t>FINANCIJSKI TIJEK</t>
  </si>
  <si>
    <t>1. Ukupni prihod</t>
  </si>
  <si>
    <t>2. Izvori financiranja</t>
  </si>
  <si>
    <t>2.1. Vlastito ulaganje</t>
  </si>
  <si>
    <t>2.2. Kredit</t>
  </si>
  <si>
    <t>3. Ostatak vrijednosti projekta</t>
  </si>
  <si>
    <t>3.1. Osnovnih sredstava</t>
  </si>
  <si>
    <t>3.2. Obrtnih sredstava</t>
  </si>
  <si>
    <t>4. Investicije u OS</t>
  </si>
  <si>
    <t>5. Investicije u TOBS</t>
  </si>
  <si>
    <t>6. Troškovi materijala i usluga</t>
  </si>
  <si>
    <t>7. Izdaci za osoblje</t>
  </si>
  <si>
    <t>8. Porezi</t>
  </si>
  <si>
    <t>9. Otplata (Glavnica + Kamate)</t>
  </si>
  <si>
    <t>IV KUMULATIV NETO PRIMITAKA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</si>
</sst>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\ [$€-1]_-;\-* #,##0\ [$€-1]_-;_-* &quot;-&quot;??\ [$€-1]_-;_-@_-"/>
    <numFmt numFmtId="165" formatCode="0.00000%"/>
    <numFmt numFmtId="166" formatCode="_-* #,##0\ _k_n_-;\-* #,##0\ _k_n_-;_-* &quot;-&quot;??\ _k_n_-;_-@_-"/>
    <numFmt numFmtId="167" formatCode="0.000"/>
  </numFmts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FFFFCC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8"/>
      <name val="Calibri"/>
      <family val="2"/>
      <charset val="238"/>
      <scheme val="minor"/>
    </font>
    <font>
      <b/>
      <sz val="11"/>
      <color theme="0"/>
      <name val="Calibri Light"/>
      <family val="1"/>
      <charset val="238"/>
      <scheme val="major"/>
    </font>
    <font>
      <b/>
      <sz val="12"/>
      <color theme="0"/>
      <name val="Calibri"/>
      <family val="2"/>
      <charset val="238"/>
      <scheme val="minor"/>
    </font>
    <font>
      <sz val="12"/>
      <color indexed="8"/>
      <name val="Calibri"/>
      <family val="2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6" fillId="0" borderId="10" applyNumberFormat="0" applyFill="0" applyAlignment="0" applyProtection="0"/>
    <xf numFmtId="0" fontId="7" fillId="6" borderId="0" applyNumberFormat="0" applyBorder="0" applyAlignment="0" applyProtection="0"/>
    <xf numFmtId="0" fontId="1" fillId="7" borderId="0" applyNumberFormat="0" applyBorder="0" applyAlignment="0" applyProtection="0"/>
  </cellStyleXfs>
  <cellXfs count="157">
    <xf numFmtId="0" fontId="0" fillId="0" borderId="0" xfId="0"/>
    <xf numFmtId="3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vertical="center"/>
    </xf>
    <xf numFmtId="1" fontId="0" fillId="0" borderId="0" xfId="0" applyNumberFormat="1"/>
    <xf numFmtId="0" fontId="0" fillId="2" borderId="0" xfId="0" applyFill="1"/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9" fontId="0" fillId="0" borderId="0" xfId="1" applyFont="1"/>
    <xf numFmtId="10" fontId="0" fillId="0" borderId="3" xfId="0" applyNumberFormat="1" applyBorder="1"/>
    <xf numFmtId="2" fontId="0" fillId="0" borderId="3" xfId="0" applyNumberFormat="1" applyBorder="1"/>
    <xf numFmtId="9" fontId="0" fillId="0" borderId="3" xfId="0" applyNumberFormat="1" applyBorder="1"/>
    <xf numFmtId="165" fontId="0" fillId="0" borderId="3" xfId="1" applyNumberFormat="1" applyFont="1" applyBorder="1"/>
    <xf numFmtId="2" fontId="0" fillId="0" borderId="3" xfId="1" applyNumberFormat="1" applyFont="1" applyBorder="1"/>
    <xf numFmtId="0" fontId="0" fillId="0" borderId="15" xfId="0" applyBorder="1" applyAlignment="1">
      <alignment horizontal="left"/>
    </xf>
    <xf numFmtId="0" fontId="0" fillId="0" borderId="3" xfId="0" applyBorder="1" applyAlignment="1">
      <alignment horizontal="center"/>
    </xf>
    <xf numFmtId="166" fontId="0" fillId="0" borderId="3" xfId="2" applyNumberFormat="1" applyFont="1" applyBorder="1" applyAlignment="1">
      <alignment vertical="center"/>
    </xf>
    <xf numFmtId="166" fontId="0" fillId="0" borderId="16" xfId="2" applyNumberFormat="1" applyFont="1" applyBorder="1" applyAlignment="1">
      <alignment vertical="center"/>
    </xf>
    <xf numFmtId="0" fontId="0" fillId="8" borderId="0" xfId="0" applyFill="1"/>
    <xf numFmtId="0" fontId="5" fillId="8" borderId="12" xfId="4" applyFont="1" applyFill="1" applyBorder="1" applyAlignment="1">
      <alignment horizontal="center" wrapText="1"/>
    </xf>
    <xf numFmtId="0" fontId="5" fillId="8" borderId="13" xfId="4" applyFont="1" applyFill="1" applyBorder="1" applyAlignment="1">
      <alignment horizontal="center"/>
    </xf>
    <xf numFmtId="0" fontId="5" fillId="8" borderId="13" xfId="4" applyFont="1" applyFill="1" applyBorder="1" applyAlignment="1">
      <alignment horizontal="center" wrapText="1"/>
    </xf>
    <xf numFmtId="0" fontId="5" fillId="8" borderId="14" xfId="4" applyFont="1" applyFill="1" applyBorder="1" applyAlignment="1">
      <alignment horizontal="center"/>
    </xf>
    <xf numFmtId="0" fontId="5" fillId="8" borderId="17" xfId="3" applyFont="1" applyFill="1" applyBorder="1" applyAlignment="1">
      <alignment horizontal="center"/>
    </xf>
    <xf numFmtId="0" fontId="7" fillId="8" borderId="17" xfId="3" applyFont="1" applyFill="1" applyBorder="1" applyAlignment="1">
      <alignment horizontal="center"/>
    </xf>
    <xf numFmtId="166" fontId="7" fillId="8" borderId="17" xfId="2" applyNumberFormat="1" applyFont="1" applyFill="1" applyBorder="1" applyAlignment="1">
      <alignment vertical="center"/>
    </xf>
    <xf numFmtId="166" fontId="5" fillId="8" borderId="17" xfId="2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6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3" fontId="0" fillId="0" borderId="3" xfId="2" applyNumberFormat="1" applyFont="1" applyBorder="1" applyAlignment="1">
      <alignment horizontal="right" vertical="center"/>
    </xf>
    <xf numFmtId="3" fontId="0" fillId="0" borderId="3" xfId="0" applyNumberFormat="1" applyBorder="1" applyAlignment="1">
      <alignment horizontal="right" vertical="center"/>
    </xf>
    <xf numFmtId="3" fontId="0" fillId="0" borderId="8" xfId="2" applyNumberFormat="1" applyFon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6" fillId="0" borderId="17" xfId="2" applyNumberFormat="1" applyFont="1" applyBorder="1" applyAlignment="1">
      <alignment horizontal="right" vertical="center"/>
    </xf>
    <xf numFmtId="9" fontId="0" fillId="0" borderId="0" xfId="1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4" applyFont="1" applyFill="1" applyBorder="1" applyAlignment="1">
      <alignment vertical="center"/>
    </xf>
    <xf numFmtId="3" fontId="0" fillId="0" borderId="3" xfId="2" applyNumberFormat="1" applyFont="1" applyBorder="1" applyAlignment="1">
      <alignment vertical="center"/>
    </xf>
    <xf numFmtId="9" fontId="6" fillId="0" borderId="3" xfId="1" applyFont="1" applyBorder="1" applyAlignment="1">
      <alignment horizontal="center" vertical="center"/>
    </xf>
    <xf numFmtId="43" fontId="8" fillId="0" borderId="0" xfId="2" applyFont="1" applyFill="1" applyBorder="1" applyAlignment="1">
      <alignment vertical="center"/>
    </xf>
    <xf numFmtId="0" fontId="6" fillId="0" borderId="0" xfId="8" applyFont="1" applyFill="1" applyBorder="1" applyAlignment="1">
      <alignment horizontal="left" vertical="center" wrapText="1"/>
    </xf>
    <xf numFmtId="3" fontId="0" fillId="0" borderId="3" xfId="0" applyNumberFormat="1" applyBorder="1" applyAlignment="1">
      <alignment vertical="center"/>
    </xf>
    <xf numFmtId="3" fontId="0" fillId="0" borderId="8" xfId="2" applyNumberFormat="1" applyFont="1" applyBorder="1" applyAlignment="1">
      <alignment vertical="center"/>
    </xf>
    <xf numFmtId="3" fontId="0" fillId="0" borderId="8" xfId="0" applyNumberFormat="1" applyBorder="1" applyAlignment="1">
      <alignment vertical="center"/>
    </xf>
    <xf numFmtId="3" fontId="6" fillId="0" borderId="23" xfId="0" applyNumberFormat="1" applyFont="1" applyBorder="1" applyAlignment="1">
      <alignment vertical="center"/>
    </xf>
    <xf numFmtId="3" fontId="0" fillId="0" borderId="20" xfId="0" applyNumberFormat="1" applyBorder="1" applyAlignment="1">
      <alignment vertical="center"/>
    </xf>
    <xf numFmtId="3" fontId="6" fillId="0" borderId="12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7" applyFont="1" applyFill="1" applyBorder="1" applyAlignment="1">
      <alignment horizontal="center" vertical="center"/>
    </xf>
    <xf numFmtId="0" fontId="6" fillId="0" borderId="0" xfId="6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justify" vertical="center"/>
    </xf>
    <xf numFmtId="0" fontId="11" fillId="0" borderId="3" xfId="0" applyFont="1" applyBorder="1" applyAlignment="1">
      <alignment horizontal="justify" vertical="center"/>
    </xf>
    <xf numFmtId="0" fontId="11" fillId="0" borderId="3" xfId="0" applyFont="1" applyBorder="1" applyAlignment="1">
      <alignment horizontal="justify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3" fontId="11" fillId="0" borderId="3" xfId="0" applyNumberFormat="1" applyFont="1" applyBorder="1" applyAlignment="1">
      <alignment horizontal="right" vertical="center"/>
    </xf>
    <xf numFmtId="9" fontId="11" fillId="9" borderId="3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3" fontId="10" fillId="0" borderId="3" xfId="0" applyNumberFormat="1" applyFont="1" applyBorder="1" applyAlignment="1">
      <alignment horizontal="right" vertical="center"/>
    </xf>
    <xf numFmtId="0" fontId="13" fillId="8" borderId="24" xfId="5" applyFont="1" applyFill="1" applyBorder="1" applyAlignment="1">
      <alignment horizontal="center" vertical="center"/>
    </xf>
    <xf numFmtId="0" fontId="13" fillId="8" borderId="3" xfId="5" applyFont="1" applyFill="1" applyBorder="1" applyAlignment="1">
      <alignment horizontal="center" vertical="center"/>
    </xf>
    <xf numFmtId="0" fontId="13" fillId="8" borderId="1" xfId="5" applyFont="1" applyFill="1" applyBorder="1" applyAlignment="1">
      <alignment horizontal="center" vertical="center"/>
    </xf>
    <xf numFmtId="0" fontId="13" fillId="8" borderId="1" xfId="5" applyFont="1" applyFill="1" applyBorder="1" applyAlignment="1">
      <alignment horizontal="center" vertical="center" wrapText="1"/>
    </xf>
    <xf numFmtId="0" fontId="13" fillId="8" borderId="3" xfId="5" applyFont="1" applyFill="1" applyBorder="1" applyAlignment="1">
      <alignment horizontal="center" vertical="center" wrapText="1"/>
    </xf>
    <xf numFmtId="0" fontId="7" fillId="8" borderId="0" xfId="0" applyFont="1" applyFill="1"/>
    <xf numFmtId="0" fontId="15" fillId="0" borderId="3" xfId="0" applyFont="1" applyBorder="1" applyAlignment="1">
      <alignment horizontal="justify" vertical="top" wrapText="1"/>
    </xf>
    <xf numFmtId="3" fontId="15" fillId="0" borderId="3" xfId="0" applyNumberFormat="1" applyFont="1" applyBorder="1" applyAlignment="1">
      <alignment horizontal="right" vertical="top" wrapText="1"/>
    </xf>
    <xf numFmtId="0" fontId="15" fillId="0" borderId="24" xfId="0" applyFont="1" applyBorder="1" applyAlignment="1">
      <alignment horizontal="justify" vertical="top" wrapText="1"/>
    </xf>
    <xf numFmtId="0" fontId="16" fillId="10" borderId="3" xfId="5" applyFont="1" applyFill="1" applyBorder="1" applyAlignment="1">
      <alignment horizontal="justify" vertical="top" wrapText="1"/>
    </xf>
    <xf numFmtId="3" fontId="17" fillId="10" borderId="3" xfId="5" applyNumberFormat="1" applyFont="1" applyFill="1" applyBorder="1" applyAlignment="1">
      <alignment horizontal="right" vertical="top" wrapText="1"/>
    </xf>
    <xf numFmtId="0" fontId="5" fillId="8" borderId="1" xfId="5" applyFont="1" applyFill="1" applyBorder="1" applyAlignment="1">
      <alignment horizontal="justify" vertical="top" wrapText="1"/>
    </xf>
    <xf numFmtId="3" fontId="14" fillId="8" borderId="1" xfId="5" applyNumberFormat="1" applyFont="1" applyFill="1" applyBorder="1" applyAlignment="1">
      <alignment horizontal="right" vertical="top" wrapText="1"/>
    </xf>
    <xf numFmtId="0" fontId="5" fillId="8" borderId="3" xfId="5" applyFont="1" applyFill="1" applyBorder="1" applyAlignment="1">
      <alignment horizontal="justify" vertical="top" wrapText="1"/>
    </xf>
    <xf numFmtId="3" fontId="14" fillId="8" borderId="3" xfId="5" applyNumberFormat="1" applyFont="1" applyFill="1" applyBorder="1" applyAlignment="1">
      <alignment horizontal="right" vertical="top" wrapText="1"/>
    </xf>
    <xf numFmtId="0" fontId="0" fillId="0" borderId="7" xfId="0" applyBorder="1"/>
    <xf numFmtId="0" fontId="7" fillId="8" borderId="3" xfId="0" applyFont="1" applyFill="1" applyBorder="1" applyAlignment="1">
      <alignment horizontal="right"/>
    </xf>
    <xf numFmtId="0" fontId="7" fillId="8" borderId="3" xfId="0" applyFont="1" applyFill="1" applyBorder="1"/>
    <xf numFmtId="1" fontId="0" fillId="0" borderId="3" xfId="0" applyNumberFormat="1" applyBorder="1"/>
    <xf numFmtId="1" fontId="0" fillId="2" borderId="0" xfId="0" applyNumberFormat="1" applyFill="1"/>
    <xf numFmtId="1" fontId="0" fillId="0" borderId="6" xfId="0" applyNumberFormat="1" applyBorder="1"/>
    <xf numFmtId="0" fontId="0" fillId="0" borderId="8" xfId="0" applyBorder="1"/>
    <xf numFmtId="1" fontId="0" fillId="0" borderId="8" xfId="0" applyNumberFormat="1" applyBorder="1"/>
    <xf numFmtId="1" fontId="0" fillId="0" borderId="9" xfId="0" applyNumberFormat="1" applyBorder="1"/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1" xfId="0" applyFill="1" applyBorder="1"/>
    <xf numFmtId="0" fontId="18" fillId="0" borderId="1" xfId="0" applyFont="1" applyBorder="1"/>
    <xf numFmtId="0" fontId="18" fillId="0" borderId="0" xfId="0" applyFont="1"/>
    <xf numFmtId="2" fontId="0" fillId="2" borderId="0" xfId="0" applyNumberFormat="1" applyFill="1"/>
    <xf numFmtId="167" fontId="0" fillId="2" borderId="0" xfId="0" applyNumberFormat="1" applyFill="1"/>
    <xf numFmtId="0" fontId="0" fillId="2" borderId="4" xfId="0" applyFill="1" applyBorder="1"/>
    <xf numFmtId="0" fontId="0" fillId="2" borderId="2" xfId="0" applyFill="1" applyBorder="1"/>
    <xf numFmtId="1" fontId="0" fillId="2" borderId="3" xfId="0" applyNumberFormat="1" applyFill="1" applyBorder="1"/>
    <xf numFmtId="1" fontId="0" fillId="2" borderId="6" xfId="0" applyNumberFormat="1" applyFill="1" applyBorder="1"/>
    <xf numFmtId="1" fontId="0" fillId="2" borderId="8" xfId="0" applyNumberFormat="1" applyFill="1" applyBorder="1"/>
    <xf numFmtId="1" fontId="0" fillId="2" borderId="9" xfId="0" applyNumberFormat="1" applyFill="1" applyBorder="1"/>
    <xf numFmtId="9" fontId="0" fillId="2" borderId="0" xfId="0" applyNumberFormat="1" applyFill="1"/>
    <xf numFmtId="0" fontId="0" fillId="2" borderId="3" xfId="0" applyFill="1" applyBorder="1" applyAlignment="1">
      <alignment horizontal="left"/>
    </xf>
    <xf numFmtId="9" fontId="0" fillId="2" borderId="3" xfId="0" applyNumberFormat="1" applyFill="1" applyBorder="1"/>
    <xf numFmtId="0" fontId="19" fillId="2" borderId="0" xfId="0" applyFont="1" applyFill="1"/>
    <xf numFmtId="0" fontId="19" fillId="11" borderId="3" xfId="0" applyFont="1" applyFill="1" applyBorder="1"/>
    <xf numFmtId="0" fontId="19" fillId="12" borderId="3" xfId="0" applyFont="1" applyFill="1" applyBorder="1"/>
    <xf numFmtId="3" fontId="0" fillId="0" borderId="3" xfId="0" applyNumberFormat="1" applyBorder="1"/>
    <xf numFmtId="3" fontId="19" fillId="12" borderId="3" xfId="0" applyNumberFormat="1" applyFont="1" applyFill="1" applyBorder="1"/>
    <xf numFmtId="3" fontId="19" fillId="0" borderId="3" xfId="0" applyNumberFormat="1" applyFont="1" applyBorder="1"/>
    <xf numFmtId="0" fontId="19" fillId="11" borderId="5" xfId="0" applyFont="1" applyFill="1" applyBorder="1"/>
    <xf numFmtId="0" fontId="19" fillId="12" borderId="5" xfId="0" applyFont="1" applyFill="1" applyBorder="1"/>
    <xf numFmtId="0" fontId="19" fillId="0" borderId="5" xfId="0" applyFont="1" applyBorder="1"/>
    <xf numFmtId="0" fontId="19" fillId="11" borderId="6" xfId="0" applyFont="1" applyFill="1" applyBorder="1"/>
    <xf numFmtId="0" fontId="19" fillId="12" borderId="6" xfId="0" applyFont="1" applyFill="1" applyBorder="1"/>
    <xf numFmtId="3" fontId="0" fillId="0" borderId="6" xfId="0" applyNumberFormat="1" applyBorder="1"/>
    <xf numFmtId="3" fontId="19" fillId="12" borderId="6" xfId="0" applyNumberFormat="1" applyFont="1" applyFill="1" applyBorder="1"/>
    <xf numFmtId="3" fontId="19" fillId="0" borderId="6" xfId="0" applyNumberFormat="1" applyFont="1" applyBorder="1"/>
    <xf numFmtId="0" fontId="19" fillId="11" borderId="4" xfId="0" applyFont="1" applyFill="1" applyBorder="1"/>
    <xf numFmtId="0" fontId="19" fillId="11" borderId="1" xfId="0" applyFont="1" applyFill="1" applyBorder="1"/>
    <xf numFmtId="0" fontId="19" fillId="11" borderId="2" xfId="0" applyFont="1" applyFill="1" applyBorder="1"/>
    <xf numFmtId="0" fontId="19" fillId="0" borderId="7" xfId="0" applyFont="1" applyBorder="1"/>
    <xf numFmtId="3" fontId="19" fillId="0" borderId="8" xfId="0" applyNumberFormat="1" applyFont="1" applyBorder="1"/>
    <xf numFmtId="3" fontId="19" fillId="0" borderId="9" xfId="0" applyNumberFormat="1" applyFont="1" applyBorder="1"/>
    <xf numFmtId="0" fontId="7" fillId="8" borderId="1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6" fillId="0" borderId="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14" fillId="8" borderId="18" xfId="5" applyFont="1" applyFill="1" applyBorder="1" applyAlignment="1">
      <alignment horizontal="center" vertical="center"/>
    </xf>
    <xf numFmtId="0" fontId="14" fillId="8" borderId="19" xfId="5" applyFont="1" applyFill="1" applyBorder="1" applyAlignment="1">
      <alignment horizontal="center" vertical="center"/>
    </xf>
    <xf numFmtId="0" fontId="5" fillId="8" borderId="24" xfId="5" applyFont="1" applyFill="1" applyBorder="1" applyAlignment="1">
      <alignment horizontal="center" vertical="center"/>
    </xf>
    <xf numFmtId="0" fontId="5" fillId="8" borderId="1" xfId="5" applyFont="1" applyFill="1" applyBorder="1" applyAlignment="1">
      <alignment horizontal="center" vertical="center"/>
    </xf>
    <xf numFmtId="0" fontId="13" fillId="8" borderId="24" xfId="5" applyFont="1" applyFill="1" applyBorder="1" applyAlignment="1">
      <alignment horizontal="center" vertical="center"/>
    </xf>
    <xf numFmtId="0" fontId="13" fillId="8" borderId="1" xfId="5" applyFont="1" applyFill="1" applyBorder="1" applyAlignment="1">
      <alignment horizontal="center" vertical="center"/>
    </xf>
    <xf numFmtId="0" fontId="13" fillId="8" borderId="8" xfId="5" applyFont="1" applyFill="1" applyBorder="1" applyAlignment="1">
      <alignment horizontal="center" vertical="center" wrapText="1"/>
    </xf>
    <xf numFmtId="0" fontId="13" fillId="8" borderId="24" xfId="5" applyFont="1" applyFill="1" applyBorder="1" applyAlignment="1">
      <alignment horizontal="center" vertical="center" wrapText="1"/>
    </xf>
    <xf numFmtId="0" fontId="13" fillId="8" borderId="1" xfId="5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4" fillId="8" borderId="21" xfId="5" applyFont="1" applyFill="1" applyBorder="1" applyAlignment="1">
      <alignment horizontal="center" vertical="center"/>
    </xf>
    <xf numFmtId="0" fontId="14" fillId="8" borderId="22" xfId="5" applyFont="1" applyFill="1" applyBorder="1" applyAlignment="1">
      <alignment horizontal="center" vertical="center"/>
    </xf>
    <xf numFmtId="0" fontId="14" fillId="8" borderId="18" xfId="5" applyFont="1" applyFill="1" applyBorder="1" applyAlignment="1">
      <alignment horizontal="left"/>
    </xf>
    <xf numFmtId="0" fontId="14" fillId="8" borderId="19" xfId="5" applyFont="1" applyFill="1" applyBorder="1" applyAlignment="1">
      <alignment horizontal="left"/>
    </xf>
  </cellXfs>
  <cellStyles count="9">
    <cellStyle name="40% - Isticanje1" xfId="8" builtinId="31"/>
    <cellStyle name="Dobro" xfId="3" builtinId="26"/>
    <cellStyle name="Isticanje1" xfId="7" builtinId="29"/>
    <cellStyle name="Loše" xfId="4" builtinId="27"/>
    <cellStyle name="Neutralno" xfId="5" builtinId="28"/>
    <cellStyle name="Normalno" xfId="0" builtinId="0"/>
    <cellStyle name="Postotak" xfId="1" builtinId="5"/>
    <cellStyle name="Ukupni zbroj" xfId="6" builtinId="25"/>
    <cellStyle name="Zarez" xfId="2" builtinId="3"/>
  </cellStyles>
  <dxfs count="122"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* #,##0\ [$€-1]_-;\-* #,##0\ [$€-1]_-;_-* &quot;-&quot;??\ [$€-1]_-;_-@_-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64" formatCode="_-* #,##0\ [$€-1]_-;\-* #,##0\ [$€-1]_-;_-* &quot;-&quot;??\ [$€-1]_-;_-@_-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\ [$€-1]_-;\-* #,##0\ [$€-1]_-;_-* &quot;-&quot;??\ [$€-1]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\ [$€-1]_-;\-* #,##0\ [$€-1]_-;_-* &quot;-&quot;??\ [$€-1]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E6B1A-3BB6-48AE-8459-CAD625E648B7}" name="Table1" displayName="Table1" ref="C5:D12" totalsRowShown="0" headerRowDxfId="121">
  <autoFilter ref="C5:D12" xr:uid="{B37E6B1A-3BB6-48AE-8459-CAD625E648B7}">
    <filterColumn colId="0" hiddenButton="1"/>
    <filterColumn colId="1" hiddenButton="1"/>
  </autoFilter>
  <tableColumns count="2">
    <tableColumn id="1" xr3:uid="{AE1F4609-8052-4BC9-AA9C-009E1DDA1BF4}" name="Trošak osnivačkog ulaganja" dataDxfId="120"/>
    <tableColumn id="2" xr3:uid="{5D23227B-F600-4FBD-A29D-B02D58A0B94F}" name="Cijena (€)" dataDxfId="11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316EA7-1E2D-4063-9FEA-74A19ACF3800}" name="Table2" displayName="Table2" ref="I5:J11" totalsRowShown="0" headerRowDxfId="118">
  <autoFilter ref="I5:J11" xr:uid="{44316EA7-1E2D-4063-9FEA-74A19ACF3800}">
    <filterColumn colId="0" hiddenButton="1"/>
    <filterColumn colId="1" hiddenButton="1"/>
  </autoFilter>
  <tableColumns count="2">
    <tableColumn id="1" xr3:uid="{81D726D2-AF7F-4BD4-8C39-EDAA76EBC43E}" name="Trošak investicije" dataDxfId="117"/>
    <tableColumn id="2" xr3:uid="{FE044569-FAF5-42F6-B49E-37C1899E671E}" name="Cijena (€)" dataDxfId="11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BFA58B-7845-45B4-9337-65C366E4FDD2}" name="Table3" displayName="Table3" ref="C16:F27" totalsRowShown="0" headerRowDxfId="115">
  <autoFilter ref="C16:F27" xr:uid="{CFBFA58B-7845-45B4-9337-65C366E4FDD2}">
    <filterColumn colId="0" hiddenButton="1"/>
    <filterColumn colId="1" hiddenButton="1"/>
    <filterColumn colId="2" hiddenButton="1"/>
    <filterColumn colId="3" hiddenButton="1"/>
  </autoFilter>
  <tableColumns count="4">
    <tableColumn id="1" xr3:uid="{3FF4373B-C01C-4228-AF35-C16550BC3DB4}" name="Naziv opreme" dataDxfId="114"/>
    <tableColumn id="2" xr3:uid="{5FE7B92C-A6A2-483E-94F0-C0467B721766}" name="Cijena (€)" dataDxfId="113"/>
    <tableColumn id="3" xr3:uid="{92D517B3-B52F-450F-AD72-4AE869187DD7}" name="Količina" dataDxfId="112"/>
    <tableColumn id="4" xr3:uid="{029650C4-2F85-4018-B119-4ED5BC6EACB2}" name="Iznos (€)" dataDxfId="111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7ECF7A-B33E-40A2-98AF-F937B7D95F3C}" name="Table4" displayName="Table4" ref="C3:I6" totalsRowShown="0" headerRowDxfId="110" headerRowBorderDxfId="109" tableBorderDxfId="108" totalsRowBorderDxfId="107">
  <autoFilter ref="C3:I6" xr:uid="{6F7ECF7A-B33E-40A2-98AF-F937B7D95F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D5754A4-B24C-493F-AD51-F4105CE40F08}" name="2026" dataDxfId="106"/>
    <tableColumn id="2" xr3:uid="{A543F9E5-D4C2-412F-B1FD-FE19DF74CDA5}" name="Usluga" dataDxfId="105"/>
    <tableColumn id="3" xr3:uid="{8C1C1178-EC6F-4A27-ABF9-425E9CD2C16B}" name="Jedinica mjere" dataDxfId="104"/>
    <tableColumn id="4" xr3:uid="{70564815-AE34-415F-99E4-812375BFEFE7}" name="Broj paketa" dataDxfId="103"/>
    <tableColumn id="5" xr3:uid="{7D651886-1BEE-40E7-A89C-C7AF9A9222C4}" name="Jedinična cijena" dataDxfId="102"/>
    <tableColumn id="6" xr3:uid="{DC41493B-955D-4C5F-82B1-DE2381B1EBE6}" name="Ukupni mjesečni prihodi" dataDxfId="101"/>
    <tableColumn id="7" xr3:uid="{0FE70BBB-DCA4-4A84-9D91-60D03AAB1E84}" name="Ukupni godišnji prihodi" dataDxfId="100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805AF7-F4E1-4115-80BB-B24FA358FDD7}" name="Table6" displayName="Table6" ref="C8:I11" totalsRowShown="0" headerRowDxfId="99" headerRowBorderDxfId="98" tableBorderDxfId="97" totalsRowBorderDxfId="96">
  <autoFilter ref="C8:I11" xr:uid="{2B805AF7-F4E1-4115-80BB-B24FA358FD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E4FE7E5-40FA-4E14-8719-72F0E80B532B}" name="2027" dataDxfId="95"/>
    <tableColumn id="2" xr3:uid="{C62A0C97-5512-4F1B-A5C1-BB12A81C7ABA}" name="Usluga" dataDxfId="94"/>
    <tableColumn id="3" xr3:uid="{EC958872-0CBD-4896-B677-2DA52397C338}" name="Jedinica mjere" dataDxfId="93"/>
    <tableColumn id="4" xr3:uid="{20E7E06F-E6DF-4F75-A87F-1057A1D6BFF1}" name="Broj paketa" dataDxfId="92"/>
    <tableColumn id="5" xr3:uid="{2B112C49-7DCD-43FA-94D8-72704FDFE006}" name="Jedinična cijena" dataDxfId="91"/>
    <tableColumn id="6" xr3:uid="{A99E9E90-A9A3-4F86-B7ED-5BF33D17775E}" name="Ukupni mjesečni prihodi" dataDxfId="90"/>
    <tableColumn id="7" xr3:uid="{7ADD97FC-66EB-4244-9C55-1047995895FB}" name="Ukupni godišnji prihodi" dataDxfId="89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BB1D3B-E681-4166-8468-0BD54267BAD0}" name="Table7" displayName="Table7" ref="C14:I17" totalsRowShown="0" headerRowDxfId="88" headerRowBorderDxfId="87" tableBorderDxfId="86" totalsRowBorderDxfId="85">
  <autoFilter ref="C14:I17" xr:uid="{A6BB1D3B-E681-4166-8468-0BD54267BA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16B4E07-7793-4ACA-9094-9996146A34A9}" name="2028" dataDxfId="84"/>
    <tableColumn id="2" xr3:uid="{2B3289EF-F83D-442C-ACE9-FCDF6A2098A4}" name="Usluga" dataDxfId="83"/>
    <tableColumn id="3" xr3:uid="{A9C03C74-4B21-43D1-B9FA-FE77F0F8E7B3}" name="Jedinica mjere" dataDxfId="82"/>
    <tableColumn id="4" xr3:uid="{893C8273-CA16-4375-AE4F-5CAF80721E5A}" name="Broj paketa" dataDxfId="81"/>
    <tableColumn id="5" xr3:uid="{9657B6D6-2065-4B00-9C9A-0C1198A8FC98}" name="Jedinična cijena" dataDxfId="80"/>
    <tableColumn id="6" xr3:uid="{AE78DF51-A205-4C1C-9D64-BC3D953C6F38}" name="Ukupni mjesečni prihodi" dataDxfId="79"/>
    <tableColumn id="7" xr3:uid="{AEC52AA6-1F86-489A-B495-BCECB7B56E47}" name="Ukupni godišnji prihodi" dataDxfId="78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16A4BD-B60C-4D70-9D24-F958460AB5F5}" name="Table8" displayName="Table8" ref="C21:I24" totalsRowShown="0" headerRowDxfId="77" headerRowBorderDxfId="76" tableBorderDxfId="75" totalsRowBorderDxfId="74">
  <autoFilter ref="C21:I24" xr:uid="{E916A4BD-B60C-4D70-9D24-F958460AB5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2DFF1FA-B043-465B-B258-D5C9CDD703F2}" name="2029" dataDxfId="73"/>
    <tableColumn id="2" xr3:uid="{B47465F9-A85C-4C3E-9180-F059F4610E2C}" name="Usluga" dataDxfId="72"/>
    <tableColumn id="3" xr3:uid="{C49227F9-582E-4C2B-BC21-3A8FCF8E0FA4}" name="Jedinica mjere" dataDxfId="71"/>
    <tableColumn id="4" xr3:uid="{9C2AFAED-781E-4619-84BD-0A88CE5AAE1E}" name="Broj paketa" dataDxfId="70"/>
    <tableColumn id="5" xr3:uid="{281BCD49-38BD-4572-B044-FA0C973E6291}" name="Jedinična cijena" dataDxfId="69"/>
    <tableColumn id="6" xr3:uid="{B94D5C08-CC6A-48CE-AFBA-23E85DD10F6D}" name="Ukupni mjesečni prihodi" dataDxfId="68"/>
    <tableColumn id="7" xr3:uid="{F34B0EF2-B768-44A3-81C7-3A0DF1F68DC2}" name="Ukupni godišnji prihodi" dataDxfId="67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623000-ED82-49E4-8F47-BCC7BA8E4C28}" name="Table9" displayName="Table9" ref="C27:I30" totalsRowShown="0" headerRowDxfId="66" headerRowBorderDxfId="65" tableBorderDxfId="64" totalsRowBorderDxfId="63">
  <autoFilter ref="C27:I30" xr:uid="{29623000-ED82-49E4-8F47-BCC7BA8E4C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BFA42D4-CCF3-4952-9D30-D08C0FB7DC25}" name="2030" dataDxfId="62"/>
    <tableColumn id="2" xr3:uid="{752BF4B9-0718-4B87-B703-9F039532318A}" name="Usluga" dataDxfId="61"/>
    <tableColumn id="3" xr3:uid="{33E20DB7-EDBA-4567-AA9C-28A340A75A66}" name="Jedinica mjere" dataDxfId="60"/>
    <tableColumn id="4" xr3:uid="{24044C3C-7FD4-48AD-B98F-033AA53C08E1}" name="Broj paketa" dataDxfId="59"/>
    <tableColumn id="5" xr3:uid="{6B675E8B-BE48-4A35-832A-297AB5CF869C}" name="Jedinična cijena" dataDxfId="58"/>
    <tableColumn id="6" xr3:uid="{08212D2B-84A6-4FF7-8D6C-0F5D339328F6}" name="Ukupni mjesečni prihodi" dataDxfId="57"/>
    <tableColumn id="7" xr3:uid="{EEACE999-6507-437C-AB1D-C1C0D5FBADA3}" name="Ukupni godišnji prihodi" dataDxfId="56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E1AA444-BECA-42E9-9652-2BCFDEC2F8E7}" name="Table10" displayName="Table10" ref="C3:E10" totalsRowShown="0">
  <autoFilter ref="C3:E10" xr:uid="{6E1AA444-BECA-42E9-9652-2BCFDEC2F8E7}">
    <filterColumn colId="0" hiddenButton="1"/>
    <filterColumn colId="1" hiddenButton="1"/>
    <filterColumn colId="2" hiddenButton="1"/>
  </autoFilter>
  <tableColumns count="3">
    <tableColumn id="1" xr3:uid="{AA09FA41-28DF-428C-9FDF-8289B9840FF2}" name="2026"/>
    <tableColumn id="2" xr3:uid="{2F272F66-3F7F-4073-A971-AE514D332804}" name="Mjesečni trošak"/>
    <tableColumn id="3" xr3:uid="{A4173815-2083-4DF6-AE56-B5111AF744AD}" name="Godišnji trošak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C7D083C-E777-442F-AB8D-FEC531E5A182}" name="Table1017" displayName="Table1017" ref="H3:J10" totalsRowShown="0">
  <autoFilter ref="H3:J10" xr:uid="{DC7D083C-E777-442F-AB8D-FEC531E5A182}">
    <filterColumn colId="0" hiddenButton="1"/>
    <filterColumn colId="1" hiddenButton="1"/>
    <filterColumn colId="2" hiddenButton="1"/>
  </autoFilter>
  <tableColumns count="3">
    <tableColumn id="1" xr3:uid="{8A421AEE-4459-40AC-A84F-8F4CB146BA45}" name="2027"/>
    <tableColumn id="2" xr3:uid="{3D9885AB-73CE-463D-9BD7-32560BEBD658}" name="Mjesečni trošak"/>
    <tableColumn id="3" xr3:uid="{2A91F58A-A5F4-41AB-81C1-A11695349B74}" name="Godišnji trošak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C5080A4-6066-4E19-B374-4EC52FC52C94}" name="Table1018" displayName="Table1018" ref="C14:E21" totalsRowShown="0">
  <autoFilter ref="C14:E21" xr:uid="{AC5080A4-6066-4E19-B374-4EC52FC52C94}">
    <filterColumn colId="0" hiddenButton="1"/>
    <filterColumn colId="1" hiddenButton="1"/>
    <filterColumn colId="2" hiddenButton="1"/>
  </autoFilter>
  <tableColumns count="3">
    <tableColumn id="1" xr3:uid="{18446DB6-7F49-421E-BE91-F727A68ED8C5}" name="2028"/>
    <tableColumn id="2" xr3:uid="{4EBB7607-0219-42AA-8F34-1DA047B31DD5}" name="Mjesečni trošak"/>
    <tableColumn id="3" xr3:uid="{46968DEB-8EFE-4DD4-B388-A179EA9E75A1}" name="Godišnji trošak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58842E6-D16D-47E6-9366-2AB33C26DB44}" name="Table101819" displayName="Table101819" ref="H14:J21" totalsRowShown="0">
  <autoFilter ref="H14:J21" xr:uid="{B58842E6-D16D-47E6-9366-2AB33C26DB44}">
    <filterColumn colId="0" hiddenButton="1"/>
    <filterColumn colId="1" hiddenButton="1"/>
    <filterColumn colId="2" hiddenButton="1"/>
  </autoFilter>
  <tableColumns count="3">
    <tableColumn id="1" xr3:uid="{E221CC71-8BEF-402C-909B-71E869AEFB0F}" name="2029"/>
    <tableColumn id="2" xr3:uid="{4DCA13DE-D968-4203-8714-8C9579F69592}" name="Mjesečni trošak"/>
    <tableColumn id="3" xr3:uid="{2647A520-246E-4F10-922A-8BD064B6B14B}" name="Godišnji trošak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47053B9-6C77-49E4-80AF-125DF935B0F7}" name="Table10181920" displayName="Table10181920" ref="C25:E32" totalsRowShown="0">
  <autoFilter ref="C25:E32" xr:uid="{D47053B9-6C77-49E4-80AF-125DF935B0F7}">
    <filterColumn colId="0" hiddenButton="1"/>
    <filterColumn colId="1" hiddenButton="1"/>
    <filterColumn colId="2" hiddenButton="1"/>
  </autoFilter>
  <tableColumns count="3">
    <tableColumn id="1" xr3:uid="{2C558620-2FA2-4D71-9925-BE2AC6CED139}" name="2030"/>
    <tableColumn id="2" xr3:uid="{3E97D10C-3F26-41EF-969D-565B00880863}" name="Mjesečni trošak"/>
    <tableColumn id="3" xr3:uid="{E72593BA-86DB-441C-BBD5-FA33A38DB125}" name="Godišnji trošak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079F1D-B72B-470E-AAC0-B221F0ACCBFA}" name="Table12" displayName="Table12" ref="B3:C7" headerRowCount="0" totalsRowShown="0" headerRowDxfId="55">
  <tableColumns count="2">
    <tableColumn id="1" xr3:uid="{03E10DDD-7C8C-4495-AA82-A2371025C515}" name="Column1" dataDxfId="54"/>
    <tableColumn id="2" xr3:uid="{7AD35F40-8727-49F1-ADD5-E727F521B384}" name="Column2" dataDxfId="53"/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427955E-DA59-4988-A691-CE865D88CF17}" name="Table13" displayName="Table13" ref="B8:C14" totalsRowShown="0">
  <autoFilter ref="B8:C14" xr:uid="{8427955E-DA59-4988-A691-CE865D88CF17}">
    <filterColumn colId="0" hiddenButton="1"/>
    <filterColumn colId="1" hiddenButton="1"/>
  </autoFilter>
  <tableColumns count="2">
    <tableColumn id="1" xr3:uid="{D9EE8995-F64D-4899-82E5-E2CAEBAE24D2}" name="Godišnja kamatna stopa "/>
    <tableColumn id="2" xr3:uid="{34C0B9DA-D904-4742-AFF5-0EB523B104A5}" name="4%"/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B29541-5FAB-4C31-88B0-3FCF18AE45E1}" name="Table11" displayName="Table11" ref="E17:I78" totalsRowShown="0">
  <autoFilter ref="E17:I78" xr:uid="{98B29541-5FAB-4C31-88B0-3FCF18AE45E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60CC484-A6AD-4BF6-A227-90931195CB9C}" name="Godina" dataDxfId="52"/>
    <tableColumn id="2" xr3:uid="{09791FE4-9004-4913-B389-D487E91FB916}" name="Anuitet" dataDxfId="51">
      <calculatedColumnFormula>F17</calculatedColumnFormula>
    </tableColumn>
    <tableColumn id="3" xr3:uid="{329596F2-4D97-4D76-93C7-62EC2E26B671}" name="Kamate" dataDxfId="50">
      <calculatedColumnFormula>I17*C$13</calculatedColumnFormula>
    </tableColumn>
    <tableColumn id="4" xr3:uid="{EA39CB5F-0281-4B7E-9E0F-F07309655921}" name="Otplatna kvota" dataDxfId="49">
      <calculatedColumnFormula>F18-G18</calculatedColumnFormula>
    </tableColumn>
    <tableColumn id="5" xr3:uid="{556BF3AE-8B57-4D70-AD16-996E6F241707}" name="Ostatak duga" dataDxfId="48">
      <calculatedColumnFormula>IF(E18="","",I17-H18)</calculatedColumnFormula>
    </tableColumn>
  </tableColumns>
  <tableStyleInfo name="TableStyleLight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4BC8EED-CEEC-487E-96BE-CC26A8088E82}" name="Table14" displayName="Table14" ref="F3:M6" totalsRowShown="0">
  <autoFilter ref="F3:M6" xr:uid="{C4BC8EED-CEEC-487E-96BE-CC26A8088E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3940935-5DC0-4F9F-BA9D-F1DC507E9ACA}" name="Godišnje"/>
    <tableColumn id="2" xr3:uid="{561BEF7B-36B8-4D08-93F4-81A7A6BA9DD0}" name="2026"/>
    <tableColumn id="3" xr3:uid="{03140A41-3EF3-437F-91F7-4B14C51B1DC7}" name="2027"/>
    <tableColumn id="4" xr3:uid="{1A109263-04C2-4464-8F04-FFDA634F837E}" name="2028"/>
    <tableColumn id="5" xr3:uid="{C729776F-4666-403C-B1A6-1C4E780CDD1A}" name="2029"/>
    <tableColumn id="6" xr3:uid="{5B4E32D6-05EA-4B25-8DFA-BC48C5124B1B}" name="2030"/>
    <tableColumn id="7" xr3:uid="{1429502D-6254-4F8A-8EEF-291432AA3860}" name="2031"/>
    <tableColumn id="8" xr3:uid="{D23B1142-ABB8-4768-843C-0E02923E9F37}" name="Ukupno">
      <calculatedColumnFormula>SUM(G4:L4)</calculatedColumnFormula>
    </tableColumn>
  </tableColumns>
  <tableStyleInfo name="TableStyleLight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7212BC-A154-4CE1-8352-194D79EEF075}" name="Table5" displayName="Table5" ref="A1:H13" headerRowDxfId="47" headerRowBorderDxfId="46" tableBorderDxfId="45" totalsRowBorderDxfId="44">
  <autoFilter ref="A1:H13" xr:uid="{5F7212BC-A154-4CE1-8352-194D79EEF0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062FDE6-3287-48B1-A1C2-3494A5539928}" name="Potreban TOBS" totalsRowLabel="Total" dataDxfId="43" totalsRowDxfId="42"/>
    <tableColumn id="2" xr3:uid="{6507EAA9-49CE-4BCE-885C-846BC7F0FA09}" name="Column1" dataDxfId="41" totalsRowDxfId="40"/>
    <tableColumn id="3" xr3:uid="{C9B13C53-3B61-4878-80BB-3F17CB26D2AE}" name="Column2" dataDxfId="39" totalsRowDxfId="38">
      <calculatedColumnFormula>365/B2</calculatedColumnFormula>
    </tableColumn>
    <tableColumn id="4" xr3:uid="{BD61ED29-BFC1-4CB5-90F9-0690F6203837}" name="2026" dataDxfId="37" totalsRowDxfId="36"/>
    <tableColumn id="5" xr3:uid="{FA246392-C772-4C6B-8A80-F6249BDA9881}" name="2027" dataDxfId="35" totalsRowDxfId="34"/>
    <tableColumn id="6" xr3:uid="{056C699C-D608-4D03-BFE0-AA79568F5578}" name="2028" dataDxfId="33" totalsRowDxfId="32"/>
    <tableColumn id="7" xr3:uid="{AA720328-BFB2-4D84-AEEF-E4AC70728906}" name="2029" dataDxfId="31" totalsRowDxfId="30"/>
    <tableColumn id="8" xr3:uid="{BCCEE722-3B30-4FF4-A371-A5BA477ACE0C}" name="2030" totalsRowFunction="count" dataDxfId="29" totalsRowDxfId="28"/>
  </tableColumns>
  <tableStyleInfo name="TableStyleLight13" showFirstColumn="1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7F1A1D-0A46-4109-B23C-7CD36D88553D}" name="Table15" displayName="Table15" ref="A16:H30">
  <autoFilter ref="A16:H30" xr:uid="{7D7F1A1D-0A46-4109-B23C-7CD36D8855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1480F34-5427-431F-8683-12E1E5AE2F32}" name="Potreban TOBS" totalsRowLabel="Total"/>
    <tableColumn id="2" xr3:uid="{7FD03814-F858-4165-A759-E5452D197D60}" name="Column1"/>
    <tableColumn id="3" xr3:uid="{DD16CB97-38AC-4DBC-A194-21A4A293B8DA}" name="Column2" dataDxfId="27"/>
    <tableColumn id="4" xr3:uid="{77D525E3-8F9E-4462-956E-E3BFDAB53DCE}" name="2026" dataDxfId="26"/>
    <tableColumn id="5" xr3:uid="{9F06340C-8DAE-47AB-B567-769DDAFD83AB}" name="2027" dataDxfId="25"/>
    <tableColumn id="6" xr3:uid="{14A0C512-E4D6-43F4-BC39-CFAA9F4766C3}" name="2028" dataDxfId="24"/>
    <tableColumn id="7" xr3:uid="{3D7ABADD-8170-48B7-958C-A0A04B2E3E78}" name="2029" dataDxfId="23"/>
    <tableColumn id="8" xr3:uid="{4DADB715-95CA-4F49-87D0-D413A8EAAB1A}" name="2030" totalsRowFunction="count" dataDxfId="22"/>
  </tableColumns>
  <tableStyleInfo name="TableStyleLight13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07A0882-D719-4C11-87DE-B0DE6D3A23B7}" name="Table21" displayName="Table21" ref="A3:G17" totalsRowShown="0" headerRowDxfId="21" headerRowBorderDxfId="20" tableBorderDxfId="19" totalsRowBorderDxfId="18">
  <autoFilter ref="A3:G17" xr:uid="{107A0882-D719-4C11-87DE-B0DE6D3A23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8CA9B42-0356-4505-A7F7-1A8DB24B9446}" name="OPIS" dataDxfId="17"/>
    <tableColumn id="2" xr3:uid="{4DBC16E0-799D-4C20-AF3F-FB830451C300}" name="2025" dataDxfId="16"/>
    <tableColumn id="3" xr3:uid="{C4A6C0B1-9B98-4A60-AD0D-F50ABBDA387C}" name="2026" dataDxfId="15"/>
    <tableColumn id="4" xr3:uid="{58B4DA73-7722-4090-A45F-A6131FF4B330}" name="2027" dataDxfId="14"/>
    <tableColumn id="5" xr3:uid="{C115C833-D6C6-4D81-976E-7E5D82D639AF}" name="2028" dataDxfId="13"/>
    <tableColumn id="6" xr3:uid="{7787B058-AA82-475C-A8DC-70D57A0D9572}" name="2029" dataDxfId="12"/>
    <tableColumn id="7" xr3:uid="{26427455-A823-450E-BF74-712DEA163485}" name="2030" dataDxfId="11"/>
  </tableColumns>
  <tableStyleInfo name="TableStyleLight13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4591C45-259A-4AE4-8760-AE9F72CCF577}" name="Table24" displayName="Table24" ref="A25:G43" totalsRowShown="0" headerRowDxfId="10" headerRowBorderDxfId="9" tableBorderDxfId="8" totalsRowBorderDxfId="7">
  <autoFilter ref="A25:G43" xr:uid="{44591C45-259A-4AE4-8760-AE9F72CCF5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CBCC845-162D-4285-BA38-D757E422EE8B}" name="OPIS" dataDxfId="6"/>
    <tableColumn id="2" xr3:uid="{4F06A883-489A-4774-BFFF-384CD69BFFAA}" name="2025" dataDxfId="5"/>
    <tableColumn id="3" xr3:uid="{6F763924-2697-414A-A9FE-04D5FEB14C40}" name="2026" dataDxfId="4"/>
    <tableColumn id="4" xr3:uid="{6FF4AA21-DA71-40C6-B782-F60F9CF2A6E6}" name="2027" dataDxfId="3"/>
    <tableColumn id="5" xr3:uid="{1B06C5D2-789D-4D48-AEB5-B6B62481AA32}" name="2028" dataDxfId="2"/>
    <tableColumn id="6" xr3:uid="{840108E6-20E6-47FD-9F7E-964EC99F7244}" name="2029" dataDxfId="1"/>
    <tableColumn id="7" xr3:uid="{2AE81783-0855-4F36-8F55-F78A73B586EA}" name="2030" dataDxfId="0"/>
  </tableColumns>
  <tableStyleInfo name="TableStyleLight13" showFirstColumn="1" showLastColumn="0" showRowStripes="1" showColumnStripes="0"/>
</table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2A2D-BF00-436B-8EF5-A39A25CFE351}">
  <dimension ref="C5:K27"/>
  <sheetViews>
    <sheetView workbookViewId="0">
      <selection activeCell="I18" sqref="I18"/>
    </sheetView>
  </sheetViews>
  <sheetFormatPr defaultRowHeight="14.4" x14ac:dyDescent="0.3"/>
  <cols>
    <col min="3" max="3" width="37.5546875" bestFit="1" customWidth="1"/>
    <col min="4" max="4" width="11.77734375" bestFit="1" customWidth="1"/>
    <col min="5" max="5" width="10.77734375" bestFit="1" customWidth="1"/>
    <col min="6" max="6" width="11.77734375" bestFit="1" customWidth="1"/>
    <col min="9" max="9" width="40.21875" bestFit="1" customWidth="1"/>
    <col min="10" max="10" width="12.77734375" bestFit="1" customWidth="1"/>
  </cols>
  <sheetData>
    <row r="5" spans="3:11" x14ac:dyDescent="0.3">
      <c r="C5" s="2" t="s">
        <v>24</v>
      </c>
      <c r="D5" s="2" t="s">
        <v>25</v>
      </c>
      <c r="I5" s="2" t="s">
        <v>32</v>
      </c>
      <c r="J5" s="2" t="s">
        <v>25</v>
      </c>
    </row>
    <row r="6" spans="3:11" x14ac:dyDescent="0.3">
      <c r="C6" s="2" t="s">
        <v>26</v>
      </c>
      <c r="D6" s="3">
        <v>500</v>
      </c>
      <c r="I6" s="2" t="s">
        <v>15</v>
      </c>
      <c r="J6" s="3">
        <v>5000</v>
      </c>
    </row>
    <row r="7" spans="3:11" x14ac:dyDescent="0.3">
      <c r="C7" s="2" t="s">
        <v>27</v>
      </c>
      <c r="D7" s="3">
        <v>350</v>
      </c>
      <c r="I7" s="2" t="s">
        <v>16</v>
      </c>
      <c r="J7" s="3">
        <v>5000</v>
      </c>
    </row>
    <row r="8" spans="3:11" x14ac:dyDescent="0.3">
      <c r="C8" s="2" t="s">
        <v>28</v>
      </c>
      <c r="D8" s="3">
        <v>30</v>
      </c>
      <c r="I8" s="2" t="s">
        <v>17</v>
      </c>
      <c r="J8" s="3">
        <v>62580</v>
      </c>
    </row>
    <row r="9" spans="3:11" x14ac:dyDescent="0.3">
      <c r="C9" s="2" t="s">
        <v>29</v>
      </c>
      <c r="D9" s="3">
        <v>620</v>
      </c>
      <c r="I9" s="2" t="s">
        <v>33</v>
      </c>
      <c r="J9" s="3">
        <v>12500</v>
      </c>
    </row>
    <row r="10" spans="3:11" x14ac:dyDescent="0.3">
      <c r="C10" s="2" t="s">
        <v>30</v>
      </c>
      <c r="D10" s="3">
        <v>1000</v>
      </c>
      <c r="I10" s="2" t="s">
        <v>123</v>
      </c>
      <c r="J10" s="3">
        <v>27500</v>
      </c>
    </row>
    <row r="11" spans="3:11" x14ac:dyDescent="0.3">
      <c r="C11" s="2" t="s">
        <v>122</v>
      </c>
      <c r="D11" s="3">
        <v>2500</v>
      </c>
      <c r="I11" s="2" t="s">
        <v>34</v>
      </c>
      <c r="J11" s="3">
        <f>SUM(J6:J10)</f>
        <v>112580</v>
      </c>
    </row>
    <row r="12" spans="3:11" x14ac:dyDescent="0.3">
      <c r="C12" s="2" t="s">
        <v>31</v>
      </c>
      <c r="D12" s="3">
        <f>SUM(D6:D11)</f>
        <v>5000</v>
      </c>
      <c r="K12">
        <v>112580</v>
      </c>
    </row>
    <row r="13" spans="3:11" x14ac:dyDescent="0.3">
      <c r="K13">
        <f>112580-85080</f>
        <v>27500</v>
      </c>
    </row>
    <row r="16" spans="3:11" x14ac:dyDescent="0.3">
      <c r="C16" s="2" t="s">
        <v>7</v>
      </c>
      <c r="D16" s="2" t="s">
        <v>25</v>
      </c>
      <c r="E16" s="2" t="s">
        <v>8</v>
      </c>
      <c r="F16" s="2" t="s">
        <v>37</v>
      </c>
    </row>
    <row r="17" spans="3:7" x14ac:dyDescent="0.3">
      <c r="C17" s="2" t="s">
        <v>20</v>
      </c>
      <c r="D17" s="3">
        <v>20000</v>
      </c>
      <c r="E17" s="6">
        <v>1</v>
      </c>
      <c r="F17" s="3">
        <f>D17*E17</f>
        <v>20000</v>
      </c>
    </row>
    <row r="18" spans="3:7" x14ac:dyDescent="0.3">
      <c r="C18" s="2" t="s">
        <v>21</v>
      </c>
      <c r="D18" s="3">
        <v>1500</v>
      </c>
      <c r="E18" s="6">
        <v>2</v>
      </c>
      <c r="F18" s="3">
        <f t="shared" ref="F18:F25" si="0">D18*E18</f>
        <v>3000</v>
      </c>
    </row>
    <row r="19" spans="3:7" x14ac:dyDescent="0.3">
      <c r="C19" s="2" t="s">
        <v>22</v>
      </c>
      <c r="D19" s="3">
        <v>15000</v>
      </c>
      <c r="E19" s="6">
        <v>1</v>
      </c>
      <c r="F19" s="3">
        <f t="shared" si="0"/>
        <v>15000</v>
      </c>
    </row>
    <row r="20" spans="3:7" x14ac:dyDescent="0.3">
      <c r="C20" s="2" t="s">
        <v>35</v>
      </c>
      <c r="D20" s="3">
        <v>5000</v>
      </c>
      <c r="E20" s="6">
        <v>1</v>
      </c>
      <c r="F20" s="3">
        <f t="shared" si="0"/>
        <v>5000</v>
      </c>
    </row>
    <row r="21" spans="3:7" x14ac:dyDescent="0.3">
      <c r="C21" s="2" t="s">
        <v>10</v>
      </c>
      <c r="D21" s="3">
        <v>1</v>
      </c>
      <c r="E21" s="6">
        <v>5000</v>
      </c>
      <c r="F21" s="3">
        <f t="shared" si="0"/>
        <v>5000</v>
      </c>
      <c r="G21" s="1"/>
    </row>
    <row r="22" spans="3:7" x14ac:dyDescent="0.3">
      <c r="C22" s="2" t="s">
        <v>11</v>
      </c>
      <c r="D22" s="3">
        <v>1</v>
      </c>
      <c r="E22" s="6">
        <v>500</v>
      </c>
      <c r="F22" s="3">
        <f t="shared" si="0"/>
        <v>500</v>
      </c>
    </row>
    <row r="23" spans="3:7" x14ac:dyDescent="0.3">
      <c r="C23" s="2" t="s">
        <v>12</v>
      </c>
      <c r="D23" s="3">
        <v>2</v>
      </c>
      <c r="E23" s="6">
        <v>500</v>
      </c>
      <c r="F23" s="3">
        <f t="shared" si="0"/>
        <v>1000</v>
      </c>
    </row>
    <row r="24" spans="3:7" x14ac:dyDescent="0.3">
      <c r="C24" s="2" t="s">
        <v>13</v>
      </c>
      <c r="D24" s="3">
        <v>1</v>
      </c>
      <c r="E24" s="6">
        <v>4000</v>
      </c>
      <c r="F24" s="3">
        <f t="shared" si="0"/>
        <v>4000</v>
      </c>
    </row>
    <row r="25" spans="3:7" x14ac:dyDescent="0.3">
      <c r="C25" s="2" t="s">
        <v>14</v>
      </c>
      <c r="D25" s="4">
        <v>5000</v>
      </c>
      <c r="E25" s="6">
        <v>1</v>
      </c>
      <c r="F25" s="3">
        <f t="shared" si="0"/>
        <v>5000</v>
      </c>
    </row>
    <row r="26" spans="3:7" x14ac:dyDescent="0.3">
      <c r="C26" s="2" t="s">
        <v>23</v>
      </c>
      <c r="D26" s="4">
        <f>19580-15500</f>
        <v>4080</v>
      </c>
      <c r="E26" s="7" t="s">
        <v>36</v>
      </c>
      <c r="F26" s="4">
        <f>D26</f>
        <v>4080</v>
      </c>
    </row>
    <row r="27" spans="3:7" x14ac:dyDescent="0.3">
      <c r="C27" s="2" t="s">
        <v>19</v>
      </c>
      <c r="D27" s="4"/>
      <c r="E27" s="7"/>
      <c r="F27" s="4">
        <f>SUM(F17:F26)</f>
        <v>62580</v>
      </c>
    </row>
  </sheetData>
  <phoneticPr fontId="1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01B9-8A72-47EA-800E-7DFB76E7E7ED}">
  <dimension ref="A1:O33"/>
  <sheetViews>
    <sheetView zoomScale="76" workbookViewId="0">
      <selection activeCell="J26" sqref="J26"/>
    </sheetView>
  </sheetViews>
  <sheetFormatPr defaultRowHeight="14.4" x14ac:dyDescent="0.3"/>
  <cols>
    <col min="2" max="2" width="16.5546875" bestFit="1" customWidth="1"/>
    <col min="3" max="3" width="28.33203125" bestFit="1" customWidth="1"/>
    <col min="4" max="4" width="20.5546875" bestFit="1" customWidth="1"/>
    <col min="5" max="5" width="12.21875" bestFit="1" customWidth="1"/>
  </cols>
  <sheetData>
    <row r="1" spans="1:15" ht="16.2" thickBot="1" x14ac:dyDescent="0.35">
      <c r="A1" s="140" t="s">
        <v>96</v>
      </c>
      <c r="B1" s="141"/>
      <c r="C1" s="2"/>
      <c r="D1" s="2"/>
      <c r="E1" s="2"/>
      <c r="F1" s="2"/>
      <c r="G1" s="37"/>
      <c r="H1" s="2"/>
      <c r="I1" s="2"/>
      <c r="J1" s="2"/>
      <c r="K1" s="2"/>
      <c r="L1" s="2"/>
      <c r="M1" s="2"/>
      <c r="N1" s="2"/>
      <c r="O1" s="38"/>
    </row>
    <row r="2" spans="1:15" x14ac:dyDescent="0.3">
      <c r="A2" s="78" t="s">
        <v>97</v>
      </c>
      <c r="B2" s="78">
        <v>2013</v>
      </c>
      <c r="C2" s="79" t="s">
        <v>9</v>
      </c>
      <c r="D2" s="79" t="s">
        <v>75</v>
      </c>
      <c r="E2" s="79" t="s">
        <v>52</v>
      </c>
      <c r="F2" s="39"/>
      <c r="G2" s="40"/>
      <c r="H2" s="39"/>
      <c r="I2" s="39"/>
      <c r="J2" s="39"/>
      <c r="K2" s="39"/>
      <c r="L2" s="39"/>
      <c r="M2" s="39"/>
      <c r="N2" s="39"/>
      <c r="O2" s="38"/>
    </row>
    <row r="3" spans="1:15" x14ac:dyDescent="0.3">
      <c r="A3" s="149" t="s">
        <v>98</v>
      </c>
      <c r="B3" s="150"/>
      <c r="C3" s="41"/>
      <c r="D3" s="41"/>
      <c r="E3" s="41"/>
      <c r="F3" s="2"/>
      <c r="G3" s="37"/>
      <c r="H3" s="2"/>
      <c r="I3" s="2"/>
      <c r="J3" s="2"/>
      <c r="K3" s="2"/>
      <c r="L3" s="2"/>
      <c r="M3" s="2"/>
      <c r="N3" s="2"/>
      <c r="O3" s="38"/>
    </row>
    <row r="4" spans="1:15" x14ac:dyDescent="0.3">
      <c r="A4" s="42" t="s">
        <v>93</v>
      </c>
      <c r="B4" s="43" t="s">
        <v>73</v>
      </c>
      <c r="C4" s="44">
        <v>5000</v>
      </c>
      <c r="D4" s="44">
        <f>C4</f>
        <v>5000</v>
      </c>
      <c r="E4" s="45"/>
      <c r="F4" s="2"/>
      <c r="G4" s="37"/>
      <c r="H4" s="2"/>
      <c r="I4" s="2"/>
      <c r="J4" s="2"/>
      <c r="K4" s="2"/>
      <c r="L4" s="2"/>
      <c r="M4" s="2"/>
      <c r="N4" s="2"/>
      <c r="O4" s="38"/>
    </row>
    <row r="5" spans="1:15" x14ac:dyDescent="0.3">
      <c r="A5" s="42" t="s">
        <v>94</v>
      </c>
      <c r="B5" s="43" t="s">
        <v>99</v>
      </c>
      <c r="C5" s="44">
        <v>27500</v>
      </c>
      <c r="D5" s="45">
        <f>C5</f>
        <v>27500</v>
      </c>
      <c r="E5" s="45"/>
      <c r="F5" s="2"/>
      <c r="G5" s="37"/>
      <c r="H5" s="2"/>
      <c r="I5" s="2"/>
      <c r="J5" s="2"/>
      <c r="K5" s="2"/>
      <c r="L5" s="2"/>
      <c r="M5" s="2"/>
      <c r="N5" s="2"/>
      <c r="O5" s="38"/>
    </row>
    <row r="6" spans="1:15" x14ac:dyDescent="0.3">
      <c r="A6" s="42" t="s">
        <v>95</v>
      </c>
      <c r="B6" s="43" t="s">
        <v>74</v>
      </c>
      <c r="C6" s="44">
        <v>62580</v>
      </c>
      <c r="D6" s="45"/>
      <c r="E6" s="45">
        <f>C6</f>
        <v>62580</v>
      </c>
      <c r="F6" s="2"/>
      <c r="G6" s="37"/>
      <c r="H6" s="2"/>
      <c r="I6" s="2"/>
      <c r="J6" s="2"/>
      <c r="K6" s="2"/>
      <c r="L6" s="2"/>
      <c r="M6" s="2"/>
      <c r="N6" s="2"/>
      <c r="O6" s="38"/>
    </row>
    <row r="7" spans="1:15" ht="15" thickBot="1" x14ac:dyDescent="0.35">
      <c r="A7" s="151" t="s">
        <v>100</v>
      </c>
      <c r="B7" s="152"/>
      <c r="C7" s="46">
        <f>12500+5000</f>
        <v>17500</v>
      </c>
      <c r="D7" s="47">
        <f>C7</f>
        <v>17500</v>
      </c>
      <c r="E7" s="47"/>
      <c r="F7" s="2"/>
      <c r="G7" s="37"/>
      <c r="H7" s="2"/>
      <c r="I7" s="2"/>
      <c r="J7" s="2"/>
      <c r="K7" s="2"/>
      <c r="L7" s="2"/>
      <c r="M7" s="2"/>
      <c r="N7" s="2"/>
      <c r="O7" s="38"/>
    </row>
    <row r="8" spans="1:15" ht="15" thickBot="1" x14ac:dyDescent="0.35">
      <c r="A8" s="138" t="s">
        <v>101</v>
      </c>
      <c r="B8" s="139"/>
      <c r="C8" s="48">
        <f>SUM(C4:C7)</f>
        <v>112580</v>
      </c>
      <c r="D8" s="48">
        <f>SUM(D4:D7)</f>
        <v>50000</v>
      </c>
      <c r="E8" s="48">
        <f>SUM(E4:E7)</f>
        <v>62580</v>
      </c>
      <c r="F8" s="2"/>
      <c r="G8" s="37"/>
      <c r="H8" s="2"/>
      <c r="I8" s="2"/>
      <c r="J8" s="2"/>
      <c r="K8" s="2"/>
      <c r="L8" s="2"/>
      <c r="M8" s="2"/>
      <c r="N8" s="2"/>
      <c r="O8" s="38"/>
    </row>
    <row r="9" spans="1:15" x14ac:dyDescent="0.3">
      <c r="A9" s="2"/>
      <c r="B9" s="2"/>
      <c r="C9" s="2"/>
      <c r="D9" s="49">
        <f>D8/C8</f>
        <v>0.44412861964825012</v>
      </c>
      <c r="E9" s="49">
        <f>E8/C8</f>
        <v>0.55587138035174988</v>
      </c>
      <c r="F9" s="50" t="s">
        <v>102</v>
      </c>
      <c r="G9" s="37"/>
      <c r="H9" s="2"/>
      <c r="I9" s="2"/>
      <c r="J9" s="2"/>
      <c r="K9" s="2"/>
      <c r="L9" s="2"/>
      <c r="M9" s="2"/>
      <c r="N9" s="2"/>
      <c r="O9" s="38"/>
    </row>
    <row r="10" spans="1:15" x14ac:dyDescent="0.3">
      <c r="A10" s="2"/>
      <c r="B10" s="2"/>
      <c r="C10" s="2"/>
      <c r="D10" s="2"/>
      <c r="E10" s="2"/>
      <c r="F10" s="2"/>
      <c r="G10" s="37"/>
      <c r="H10" s="2"/>
      <c r="I10" s="2"/>
      <c r="J10" s="2"/>
      <c r="K10" s="2"/>
      <c r="L10" s="2"/>
      <c r="M10" s="2"/>
      <c r="N10" s="2"/>
      <c r="O10" s="38"/>
    </row>
    <row r="11" spans="1:15" x14ac:dyDescent="0.3">
      <c r="A11" s="2"/>
      <c r="B11" s="2"/>
      <c r="C11" s="2"/>
      <c r="D11" s="2"/>
      <c r="E11" s="2"/>
      <c r="F11" s="2"/>
      <c r="G11" s="51"/>
      <c r="H11" s="2"/>
      <c r="I11" s="2"/>
      <c r="J11" s="2"/>
      <c r="K11" s="2"/>
      <c r="L11" s="2"/>
      <c r="M11" s="2"/>
      <c r="N11" s="2"/>
      <c r="O11" s="38"/>
    </row>
    <row r="12" spans="1:15" ht="15" thickBot="1" x14ac:dyDescent="0.35">
      <c r="A12" s="2"/>
      <c r="B12" s="2"/>
      <c r="C12" s="2"/>
      <c r="D12" s="2"/>
      <c r="E12" s="2"/>
      <c r="F12" s="2"/>
      <c r="G12" s="37"/>
      <c r="H12" s="2"/>
      <c r="I12" s="2"/>
      <c r="J12" s="2"/>
      <c r="K12" s="2"/>
      <c r="L12" s="2"/>
      <c r="M12" s="2"/>
      <c r="N12" s="2"/>
      <c r="O12" s="38"/>
    </row>
    <row r="13" spans="1:15" ht="15.6" x14ac:dyDescent="0.3">
      <c r="A13" s="153" t="s">
        <v>103</v>
      </c>
      <c r="B13" s="154"/>
      <c r="C13" s="2"/>
      <c r="D13" s="2"/>
      <c r="E13" s="2"/>
      <c r="F13" s="2"/>
      <c r="G13" s="37"/>
      <c r="H13" s="2"/>
      <c r="I13" s="2"/>
      <c r="J13" s="2"/>
      <c r="K13" s="2"/>
      <c r="L13" s="2"/>
      <c r="M13" s="2"/>
      <c r="N13" s="2"/>
      <c r="O13" s="38"/>
    </row>
    <row r="14" spans="1:15" x14ac:dyDescent="0.3">
      <c r="A14" s="76" t="s">
        <v>97</v>
      </c>
      <c r="B14" s="76"/>
      <c r="C14" s="76" t="s">
        <v>9</v>
      </c>
      <c r="D14" s="76" t="s">
        <v>104</v>
      </c>
      <c r="E14" s="76" t="s">
        <v>105</v>
      </c>
      <c r="F14" s="2"/>
      <c r="G14" s="37"/>
      <c r="H14" s="2"/>
      <c r="I14" s="2"/>
      <c r="J14" s="2"/>
      <c r="K14" s="2"/>
      <c r="L14" s="2"/>
      <c r="M14" s="2"/>
      <c r="N14" s="2"/>
      <c r="O14" s="38"/>
    </row>
    <row r="15" spans="1:15" x14ac:dyDescent="0.3">
      <c r="A15" s="149" t="s">
        <v>98</v>
      </c>
      <c r="B15" s="150"/>
      <c r="C15" s="41"/>
      <c r="D15" s="41"/>
      <c r="E15" s="41"/>
      <c r="F15" s="2"/>
      <c r="G15" s="37"/>
      <c r="H15" s="2"/>
      <c r="I15" s="2"/>
      <c r="J15" s="2"/>
      <c r="K15" s="2"/>
      <c r="L15" s="2"/>
      <c r="M15" s="2"/>
      <c r="N15" s="2"/>
      <c r="O15" s="38"/>
    </row>
    <row r="16" spans="1:15" x14ac:dyDescent="0.3">
      <c r="A16" s="42" t="s">
        <v>93</v>
      </c>
      <c r="B16" s="41" t="s">
        <v>73</v>
      </c>
      <c r="C16" s="52">
        <f>C4</f>
        <v>5000</v>
      </c>
      <c r="D16" s="53">
        <v>0.25</v>
      </c>
      <c r="E16" s="52">
        <f>C16*D16</f>
        <v>1250</v>
      </c>
      <c r="F16" s="2"/>
      <c r="G16" s="54"/>
      <c r="H16" s="2"/>
      <c r="I16" s="2"/>
      <c r="J16" s="2"/>
      <c r="K16" s="2"/>
      <c r="L16" s="2"/>
      <c r="M16" s="2"/>
      <c r="N16" s="2"/>
      <c r="O16" s="55"/>
    </row>
    <row r="17" spans="1:15" x14ac:dyDescent="0.3">
      <c r="A17" s="42" t="s">
        <v>94</v>
      </c>
      <c r="B17" s="41" t="s">
        <v>99</v>
      </c>
      <c r="C17" s="52">
        <f>C5</f>
        <v>27500</v>
      </c>
      <c r="D17" s="53">
        <v>0.05</v>
      </c>
      <c r="E17" s="56">
        <f>C17*D17</f>
        <v>1375</v>
      </c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thickBot="1" x14ac:dyDescent="0.35">
      <c r="A18" s="42" t="s">
        <v>95</v>
      </c>
      <c r="B18" s="41" t="s">
        <v>74</v>
      </c>
      <c r="C18" s="57">
        <f>C6</f>
        <v>62580</v>
      </c>
      <c r="D18" s="53">
        <v>0.2</v>
      </c>
      <c r="E18" s="58">
        <f>C18*D18</f>
        <v>12516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138" t="s">
        <v>106</v>
      </c>
      <c r="B19" s="139"/>
      <c r="C19" s="59">
        <f>SUM(C16:C18)</f>
        <v>95080</v>
      </c>
      <c r="D19" s="60"/>
      <c r="E19" s="61">
        <f>SUM(E16:E18)</f>
        <v>15141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thickBot="1" x14ac:dyDescent="0.35">
      <c r="A20" s="6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63"/>
    </row>
    <row r="21" spans="1:15" ht="16.2" thickBot="1" x14ac:dyDescent="0.35">
      <c r="A21" s="140" t="s">
        <v>107</v>
      </c>
      <c r="B21" s="14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64"/>
    </row>
    <row r="22" spans="1:15" x14ac:dyDescent="0.3">
      <c r="A22" s="142" t="s">
        <v>108</v>
      </c>
      <c r="B22" s="144" t="s">
        <v>109</v>
      </c>
      <c r="C22" s="146" t="s">
        <v>110</v>
      </c>
      <c r="D22" s="146" t="s">
        <v>111</v>
      </c>
      <c r="E22" s="136" t="s">
        <v>124</v>
      </c>
      <c r="F22" s="137"/>
      <c r="G22" s="137"/>
      <c r="H22" s="137"/>
      <c r="I22" s="137"/>
      <c r="J22" s="137"/>
    </row>
    <row r="23" spans="1:15" x14ac:dyDescent="0.3">
      <c r="A23" s="142"/>
      <c r="B23" s="144"/>
      <c r="C23" s="147"/>
      <c r="D23" s="147"/>
      <c r="E23" s="76">
        <v>1</v>
      </c>
      <c r="F23" s="76">
        <v>2</v>
      </c>
      <c r="G23" s="76">
        <v>3</v>
      </c>
      <c r="H23" s="76">
        <v>4</v>
      </c>
      <c r="I23" s="76">
        <v>5</v>
      </c>
      <c r="J23" s="75" t="s">
        <v>112</v>
      </c>
    </row>
    <row r="24" spans="1:15" x14ac:dyDescent="0.3">
      <c r="A24" s="143"/>
      <c r="B24" s="145"/>
      <c r="C24" s="148"/>
      <c r="D24" s="148"/>
      <c r="E24" s="76">
        <v>2026</v>
      </c>
      <c r="F24" s="76">
        <v>2027</v>
      </c>
      <c r="G24" s="76">
        <v>2028</v>
      </c>
      <c r="H24" s="76">
        <v>2029</v>
      </c>
      <c r="I24" s="76">
        <v>2030</v>
      </c>
      <c r="J24" s="77"/>
    </row>
    <row r="25" spans="1:15" x14ac:dyDescent="0.3">
      <c r="A25" s="65" t="s">
        <v>113</v>
      </c>
      <c r="B25" s="66" t="s">
        <v>114</v>
      </c>
      <c r="C25" s="67"/>
      <c r="D25" s="67"/>
      <c r="E25" s="67"/>
      <c r="F25" s="67"/>
      <c r="G25" s="68"/>
      <c r="H25" s="67"/>
      <c r="I25" s="67"/>
      <c r="J25" s="67"/>
    </row>
    <row r="26" spans="1:15" x14ac:dyDescent="0.3">
      <c r="A26" s="69">
        <v>1</v>
      </c>
      <c r="B26" s="70" t="s">
        <v>73</v>
      </c>
      <c r="C26" s="71">
        <f>C16</f>
        <v>5000</v>
      </c>
      <c r="D26" s="72">
        <f>D16</f>
        <v>0.25</v>
      </c>
      <c r="E26" s="71">
        <f>E16</f>
        <v>1250</v>
      </c>
      <c r="F26" s="71">
        <f>E16</f>
        <v>1250</v>
      </c>
      <c r="G26" s="71">
        <f>E16</f>
        <v>1250</v>
      </c>
      <c r="H26" s="71">
        <f>E16</f>
        <v>1250</v>
      </c>
      <c r="I26" s="71">
        <v>0</v>
      </c>
      <c r="J26" s="71">
        <f t="shared" ref="J26:J33" si="0">C26-SUM(E26:I26)</f>
        <v>0</v>
      </c>
    </row>
    <row r="27" spans="1:15" x14ac:dyDescent="0.3">
      <c r="A27" s="69">
        <v>2</v>
      </c>
      <c r="B27" s="2" t="s">
        <v>99</v>
      </c>
      <c r="C27" s="71">
        <f>C17</f>
        <v>27500</v>
      </c>
      <c r="D27" s="72">
        <f>D17</f>
        <v>0.05</v>
      </c>
      <c r="E27" s="71">
        <f>$E$17</f>
        <v>1375</v>
      </c>
      <c r="F27" s="71">
        <f>$E$17</f>
        <v>1375</v>
      </c>
      <c r="G27" s="71">
        <f>$E$17</f>
        <v>1375</v>
      </c>
      <c r="H27" s="71">
        <f>$E$17</f>
        <v>1375</v>
      </c>
      <c r="I27" s="71">
        <f>$E$17</f>
        <v>1375</v>
      </c>
      <c r="J27" s="71">
        <f t="shared" si="0"/>
        <v>20625</v>
      </c>
    </row>
    <row r="28" spans="1:15" x14ac:dyDescent="0.3">
      <c r="A28" s="69">
        <v>3</v>
      </c>
      <c r="B28" s="73" t="s">
        <v>115</v>
      </c>
      <c r="C28" s="71">
        <f>C18</f>
        <v>62580</v>
      </c>
      <c r="D28" s="72">
        <f>D18</f>
        <v>0.2</v>
      </c>
      <c r="E28" s="71">
        <f>E18</f>
        <v>12516</v>
      </c>
      <c r="F28" s="71">
        <f>E18</f>
        <v>12516</v>
      </c>
      <c r="G28" s="71">
        <f>E18</f>
        <v>12516</v>
      </c>
      <c r="H28" s="71">
        <f>E18</f>
        <v>12516</v>
      </c>
      <c r="I28" s="71">
        <f>E18</f>
        <v>12516</v>
      </c>
      <c r="J28" s="71">
        <f t="shared" si="0"/>
        <v>0</v>
      </c>
    </row>
    <row r="29" spans="1:15" x14ac:dyDescent="0.3">
      <c r="A29" s="65" t="s">
        <v>116</v>
      </c>
      <c r="B29" s="66" t="s">
        <v>117</v>
      </c>
      <c r="C29" s="74">
        <f>SUM(C26:C28)</f>
        <v>95080</v>
      </c>
      <c r="D29" s="71"/>
      <c r="E29" s="74">
        <f>SUM(E26:E28)</f>
        <v>15141</v>
      </c>
      <c r="F29" s="74">
        <f>SUM(F26:F28)</f>
        <v>15141</v>
      </c>
      <c r="G29" s="74">
        <f>SUM(G26:G28)</f>
        <v>15141</v>
      </c>
      <c r="H29" s="74">
        <f>SUM(H26:H28)</f>
        <v>15141</v>
      </c>
      <c r="I29" s="74">
        <f>SUM(I26:I28)</f>
        <v>13891</v>
      </c>
      <c r="J29" s="71">
        <f t="shared" si="0"/>
        <v>20625</v>
      </c>
    </row>
    <row r="30" spans="1:15" ht="28.8" x14ac:dyDescent="0.3">
      <c r="A30" s="65" t="s">
        <v>118</v>
      </c>
      <c r="B30" s="66" t="s">
        <v>119</v>
      </c>
      <c r="C30" s="71"/>
      <c r="D30" s="71"/>
      <c r="E30" s="71"/>
      <c r="F30" s="71"/>
      <c r="G30" s="71"/>
      <c r="H30" s="71"/>
      <c r="I30" s="71"/>
      <c r="J30" s="71">
        <f t="shared" si="0"/>
        <v>0</v>
      </c>
    </row>
    <row r="31" spans="1:15" x14ac:dyDescent="0.3">
      <c r="A31" s="69">
        <v>1</v>
      </c>
      <c r="B31" s="67" t="s">
        <v>120</v>
      </c>
      <c r="C31" s="71">
        <f>C29</f>
        <v>95080</v>
      </c>
      <c r="D31" s="71"/>
      <c r="E31" s="71">
        <f>C31-E29</f>
        <v>79939</v>
      </c>
      <c r="F31" s="71">
        <f>E31-F29</f>
        <v>64798</v>
      </c>
      <c r="G31" s="71">
        <f>F31-G29</f>
        <v>49657</v>
      </c>
      <c r="H31" s="71">
        <f>G31-H29</f>
        <v>34516</v>
      </c>
      <c r="I31" s="71">
        <f>H31-I29</f>
        <v>20625</v>
      </c>
      <c r="J31" s="71">
        <f t="shared" si="0"/>
        <v>-154455</v>
      </c>
    </row>
    <row r="32" spans="1:15" x14ac:dyDescent="0.3">
      <c r="A32" s="69">
        <v>2</v>
      </c>
      <c r="B32" s="67" t="s">
        <v>121</v>
      </c>
      <c r="C32" s="71">
        <f>C7</f>
        <v>17500</v>
      </c>
      <c r="D32" s="71"/>
      <c r="E32" s="71">
        <f>TOBS!D30</f>
        <v>-14588.873424657537</v>
      </c>
      <c r="F32" s="71">
        <f>TOBS!E30</f>
        <v>-14510.627899246061</v>
      </c>
      <c r="G32" s="71">
        <f>TOBS!F30</f>
        <v>-13137.562959572984</v>
      </c>
      <c r="H32" s="71">
        <f>TOBS!G30</f>
        <v>-13564.356668544706</v>
      </c>
      <c r="I32" s="71">
        <f>TOBS!H30</f>
        <v>-13384.744027427229</v>
      </c>
      <c r="J32" s="71">
        <f t="shared" si="0"/>
        <v>86686.164979448513</v>
      </c>
    </row>
    <row r="33" spans="1:10" x14ac:dyDescent="0.3">
      <c r="A33" s="69">
        <v>3</v>
      </c>
      <c r="B33" s="67" t="s">
        <v>51</v>
      </c>
      <c r="C33" s="74">
        <f>SUM(C31:C32)</f>
        <v>112580</v>
      </c>
      <c r="D33" s="71"/>
      <c r="E33" s="74">
        <f>SUM(E31:E32)</f>
        <v>65350.126575342467</v>
      </c>
      <c r="F33" s="74">
        <f>SUM(F31:F32)</f>
        <v>50287.372100753943</v>
      </c>
      <c r="G33" s="74">
        <f>SUM(G31:G32)</f>
        <v>36519.437040427016</v>
      </c>
      <c r="H33" s="74">
        <f>SUM(H31:H32)</f>
        <v>20951.643331455292</v>
      </c>
      <c r="I33" s="74">
        <f>SUM(I31:I32)</f>
        <v>7240.2559725727715</v>
      </c>
      <c r="J33" s="71">
        <f t="shared" si="0"/>
        <v>-67768.835020551516</v>
      </c>
    </row>
  </sheetData>
  <mergeCells count="13">
    <mergeCell ref="A15:B15"/>
    <mergeCell ref="A1:B1"/>
    <mergeCell ref="A3:B3"/>
    <mergeCell ref="A7:B7"/>
    <mergeCell ref="A8:B8"/>
    <mergeCell ref="A13:B13"/>
    <mergeCell ref="E22:J22"/>
    <mergeCell ref="A19:B19"/>
    <mergeCell ref="A21:B21"/>
    <mergeCell ref="A22:A24"/>
    <mergeCell ref="B22:B24"/>
    <mergeCell ref="C22:C24"/>
    <mergeCell ref="D22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92EC-DB75-439C-9121-399D3F20476A}">
  <dimension ref="C3:I30"/>
  <sheetViews>
    <sheetView zoomScale="71" workbookViewId="0">
      <selection activeCell="I6" sqref="I6"/>
    </sheetView>
  </sheetViews>
  <sheetFormatPr defaultRowHeight="14.4" x14ac:dyDescent="0.3"/>
  <cols>
    <col min="3" max="3" width="6.88671875" customWidth="1"/>
    <col min="4" max="4" width="13.77734375" bestFit="1" customWidth="1"/>
    <col min="5" max="5" width="14.88671875" customWidth="1"/>
    <col min="6" max="6" width="12.5546875" customWidth="1"/>
    <col min="7" max="7" width="16.109375" customWidth="1"/>
    <col min="8" max="8" width="23.33203125" customWidth="1"/>
    <col min="9" max="9" width="22.44140625" customWidth="1"/>
  </cols>
  <sheetData>
    <row r="3" spans="3:9" x14ac:dyDescent="0.3">
      <c r="C3" s="9" t="s">
        <v>39</v>
      </c>
      <c r="D3" s="10" t="s">
        <v>0</v>
      </c>
      <c r="E3" s="10" t="s">
        <v>1</v>
      </c>
      <c r="F3" s="10" t="s">
        <v>38</v>
      </c>
      <c r="G3" s="10" t="s">
        <v>2</v>
      </c>
      <c r="H3" s="10" t="s">
        <v>3</v>
      </c>
      <c r="I3" s="11" t="s">
        <v>4</v>
      </c>
    </row>
    <row r="4" spans="3:9" x14ac:dyDescent="0.3">
      <c r="C4" s="12"/>
      <c r="D4" s="13" t="s">
        <v>5</v>
      </c>
      <c r="E4" s="13" t="s">
        <v>8</v>
      </c>
      <c r="F4" s="13">
        <v>2212</v>
      </c>
      <c r="G4" s="13">
        <v>4</v>
      </c>
      <c r="H4" s="13">
        <f>F4*G4</f>
        <v>8848</v>
      </c>
      <c r="I4" s="14">
        <f>12*H4</f>
        <v>106176</v>
      </c>
    </row>
    <row r="5" spans="3:9" x14ac:dyDescent="0.3">
      <c r="C5" s="12"/>
      <c r="D5" s="13" t="s">
        <v>6</v>
      </c>
      <c r="E5" s="13" t="s">
        <v>8</v>
      </c>
      <c r="F5" s="13">
        <v>2212</v>
      </c>
      <c r="G5" s="13">
        <v>6</v>
      </c>
      <c r="H5" s="13">
        <f>F5*G5</f>
        <v>13272</v>
      </c>
      <c r="I5" s="14">
        <f>12*H5</f>
        <v>159264</v>
      </c>
    </row>
    <row r="6" spans="3:9" x14ac:dyDescent="0.3">
      <c r="C6" s="15"/>
      <c r="D6" s="16" t="s">
        <v>19</v>
      </c>
      <c r="E6" s="16"/>
      <c r="F6" s="16"/>
      <c r="G6" s="16">
        <f>G4+G5</f>
        <v>10</v>
      </c>
      <c r="H6" s="16">
        <f>H4+H5</f>
        <v>22120</v>
      </c>
      <c r="I6" s="17">
        <f>I4+I5</f>
        <v>265440</v>
      </c>
    </row>
    <row r="8" spans="3:9" x14ac:dyDescent="0.3">
      <c r="C8" s="9" t="s">
        <v>40</v>
      </c>
      <c r="D8" s="10" t="s">
        <v>0</v>
      </c>
      <c r="E8" s="10" t="s">
        <v>1</v>
      </c>
      <c r="F8" s="10" t="s">
        <v>38</v>
      </c>
      <c r="G8" s="10" t="s">
        <v>2</v>
      </c>
      <c r="H8" s="10" t="s">
        <v>3</v>
      </c>
      <c r="I8" s="11" t="s">
        <v>4</v>
      </c>
    </row>
    <row r="9" spans="3:9" x14ac:dyDescent="0.3">
      <c r="C9" s="12"/>
      <c r="D9" s="13" t="s">
        <v>5</v>
      </c>
      <c r="E9" s="13" t="s">
        <v>8</v>
      </c>
      <c r="F9" s="13">
        <v>1442</v>
      </c>
      <c r="G9" s="13">
        <v>4</v>
      </c>
      <c r="H9" s="13">
        <f>F9*G9</f>
        <v>5768</v>
      </c>
      <c r="I9" s="14">
        <f>12*H9</f>
        <v>69216</v>
      </c>
    </row>
    <row r="10" spans="3:9" x14ac:dyDescent="0.3">
      <c r="C10" s="12"/>
      <c r="D10" s="13" t="s">
        <v>6</v>
      </c>
      <c r="E10" s="13" t="s">
        <v>8</v>
      </c>
      <c r="F10" s="13">
        <v>1442</v>
      </c>
      <c r="G10" s="13">
        <v>6</v>
      </c>
      <c r="H10" s="13">
        <f>F10*G10</f>
        <v>8652</v>
      </c>
      <c r="I10" s="14">
        <f>12*H10</f>
        <v>103824</v>
      </c>
    </row>
    <row r="11" spans="3:9" x14ac:dyDescent="0.3">
      <c r="C11" s="15"/>
      <c r="D11" s="16" t="s">
        <v>19</v>
      </c>
      <c r="E11" s="16"/>
      <c r="F11" s="16"/>
      <c r="G11" s="16">
        <f>G9+G10</f>
        <v>10</v>
      </c>
      <c r="H11" s="16">
        <f>H9+H10</f>
        <v>14420</v>
      </c>
      <c r="I11" s="17">
        <f>I9+I10</f>
        <v>173040</v>
      </c>
    </row>
    <row r="14" spans="3:9" x14ac:dyDescent="0.3">
      <c r="C14" s="9" t="s">
        <v>41</v>
      </c>
      <c r="D14" s="10" t="s">
        <v>0</v>
      </c>
      <c r="E14" s="10" t="s">
        <v>1</v>
      </c>
      <c r="F14" s="10" t="s">
        <v>38</v>
      </c>
      <c r="G14" s="10" t="s">
        <v>2</v>
      </c>
      <c r="H14" s="10" t="s">
        <v>3</v>
      </c>
      <c r="I14" s="11" t="s">
        <v>4</v>
      </c>
    </row>
    <row r="15" spans="3:9" x14ac:dyDescent="0.3">
      <c r="C15" s="12"/>
      <c r="D15" s="13" t="s">
        <v>5</v>
      </c>
      <c r="E15" s="13" t="s">
        <v>8</v>
      </c>
      <c r="F15" s="13">
        <v>3560</v>
      </c>
      <c r="G15" s="13">
        <v>4</v>
      </c>
      <c r="H15" s="13">
        <f>F15*G15</f>
        <v>14240</v>
      </c>
      <c r="I15" s="14">
        <f>12*H15</f>
        <v>170880</v>
      </c>
    </row>
    <row r="16" spans="3:9" x14ac:dyDescent="0.3">
      <c r="C16" s="12"/>
      <c r="D16" s="13" t="s">
        <v>6</v>
      </c>
      <c r="E16" s="13" t="s">
        <v>8</v>
      </c>
      <c r="F16" s="13">
        <v>3560</v>
      </c>
      <c r="G16" s="13">
        <v>6</v>
      </c>
      <c r="H16" s="13">
        <f>F16*G16</f>
        <v>21360</v>
      </c>
      <c r="I16" s="14">
        <f>12*H16</f>
        <v>256320</v>
      </c>
    </row>
    <row r="17" spans="3:9" x14ac:dyDescent="0.3">
      <c r="C17" s="15"/>
      <c r="D17" s="16" t="s">
        <v>19</v>
      </c>
      <c r="E17" s="16"/>
      <c r="F17" s="16"/>
      <c r="G17" s="16">
        <f>G15+G16</f>
        <v>10</v>
      </c>
      <c r="H17" s="16">
        <f>H15+H16</f>
        <v>35600</v>
      </c>
      <c r="I17" s="17">
        <f>I15+I16</f>
        <v>427200</v>
      </c>
    </row>
    <row r="21" spans="3:9" x14ac:dyDescent="0.3">
      <c r="C21" s="9" t="s">
        <v>42</v>
      </c>
      <c r="D21" s="10" t="s">
        <v>0</v>
      </c>
      <c r="E21" s="10" t="s">
        <v>1</v>
      </c>
      <c r="F21" s="10" t="s">
        <v>38</v>
      </c>
      <c r="G21" s="10" t="s">
        <v>2</v>
      </c>
      <c r="H21" s="10" t="s">
        <v>3</v>
      </c>
      <c r="I21" s="11" t="s">
        <v>4</v>
      </c>
    </row>
    <row r="22" spans="3:9" x14ac:dyDescent="0.3">
      <c r="C22" s="12"/>
      <c r="D22" s="13" t="s">
        <v>5</v>
      </c>
      <c r="E22" s="13" t="s">
        <v>8</v>
      </c>
      <c r="F22" s="13">
        <v>1690</v>
      </c>
      <c r="G22" s="13">
        <v>4</v>
      </c>
      <c r="H22" s="13">
        <f>F22*G22</f>
        <v>6760</v>
      </c>
      <c r="I22" s="14">
        <f>12*H22</f>
        <v>81120</v>
      </c>
    </row>
    <row r="23" spans="3:9" x14ac:dyDescent="0.3">
      <c r="C23" s="12"/>
      <c r="D23" s="13" t="s">
        <v>6</v>
      </c>
      <c r="E23" s="13" t="s">
        <v>8</v>
      </c>
      <c r="F23" s="13">
        <v>1690</v>
      </c>
      <c r="G23" s="13">
        <v>6</v>
      </c>
      <c r="H23" s="13">
        <f>F23*G23</f>
        <v>10140</v>
      </c>
      <c r="I23" s="14">
        <f>12*H23</f>
        <v>121680</v>
      </c>
    </row>
    <row r="24" spans="3:9" x14ac:dyDescent="0.3">
      <c r="C24" s="15"/>
      <c r="D24" s="16" t="s">
        <v>19</v>
      </c>
      <c r="E24" s="16"/>
      <c r="F24" s="16"/>
      <c r="G24" s="16">
        <f>G22+G23</f>
        <v>10</v>
      </c>
      <c r="H24" s="16">
        <f>H22+H23</f>
        <v>16900</v>
      </c>
      <c r="I24" s="17">
        <f>I22+I23</f>
        <v>202800</v>
      </c>
    </row>
    <row r="27" spans="3:9" x14ac:dyDescent="0.3">
      <c r="C27" s="9" t="s">
        <v>43</v>
      </c>
      <c r="D27" s="10" t="s">
        <v>0</v>
      </c>
      <c r="E27" s="10" t="s">
        <v>1</v>
      </c>
      <c r="F27" s="10" t="s">
        <v>38</v>
      </c>
      <c r="G27" s="10" t="s">
        <v>2</v>
      </c>
      <c r="H27" s="10" t="s">
        <v>3</v>
      </c>
      <c r="I27" s="11" t="s">
        <v>4</v>
      </c>
    </row>
    <row r="28" spans="3:9" x14ac:dyDescent="0.3">
      <c r="C28" s="12"/>
      <c r="D28" s="13" t="s">
        <v>5</v>
      </c>
      <c r="E28" s="13" t="s">
        <v>8</v>
      </c>
      <c r="F28" s="13">
        <v>2040</v>
      </c>
      <c r="G28" s="13">
        <v>4</v>
      </c>
      <c r="H28" s="13">
        <f>F28*G28</f>
        <v>8160</v>
      </c>
      <c r="I28" s="14">
        <f>12*H28</f>
        <v>97920</v>
      </c>
    </row>
    <row r="29" spans="3:9" x14ac:dyDescent="0.3">
      <c r="C29" s="12"/>
      <c r="D29" s="13" t="s">
        <v>6</v>
      </c>
      <c r="E29" s="13" t="s">
        <v>8</v>
      </c>
      <c r="F29" s="13">
        <v>2040</v>
      </c>
      <c r="G29" s="13">
        <v>6</v>
      </c>
      <c r="H29" s="13">
        <f>F29*G29</f>
        <v>12240</v>
      </c>
      <c r="I29" s="14">
        <f>12*H29</f>
        <v>146880</v>
      </c>
    </row>
    <row r="30" spans="3:9" x14ac:dyDescent="0.3">
      <c r="C30" s="15"/>
      <c r="D30" s="16" t="s">
        <v>19</v>
      </c>
      <c r="E30" s="16"/>
      <c r="F30" s="16"/>
      <c r="G30" s="16">
        <f>G28+G29</f>
        <v>10</v>
      </c>
      <c r="H30" s="16">
        <f>H28+H29</f>
        <v>20400</v>
      </c>
      <c r="I30" s="17">
        <f>I28+I29</f>
        <v>244800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AA5D-FC85-4F0A-83A6-2D5EA9108B9E}">
  <dimension ref="C2:V32"/>
  <sheetViews>
    <sheetView topLeftCell="E1" zoomScale="85" workbookViewId="0">
      <selection activeCell="R5" sqref="R5"/>
    </sheetView>
  </sheetViews>
  <sheetFormatPr defaultRowHeight="14.4" x14ac:dyDescent="0.3"/>
  <cols>
    <col min="3" max="3" width="19.109375" bestFit="1" customWidth="1"/>
    <col min="4" max="4" width="16.109375" customWidth="1"/>
    <col min="5" max="5" width="15.33203125" customWidth="1"/>
    <col min="8" max="8" width="19.109375" bestFit="1" customWidth="1"/>
    <col min="9" max="9" width="16.109375" customWidth="1"/>
    <col min="10" max="10" width="15.33203125" customWidth="1"/>
    <col min="15" max="15" width="21.77734375" bestFit="1" customWidth="1"/>
    <col min="16" max="16" width="15" bestFit="1" customWidth="1"/>
    <col min="17" max="17" width="13" bestFit="1" customWidth="1"/>
    <col min="18" max="19" width="11.6640625" bestFit="1" customWidth="1"/>
    <col min="20" max="20" width="10.44140625" bestFit="1" customWidth="1"/>
    <col min="21" max="21" width="10.77734375" bestFit="1" customWidth="1"/>
    <col min="22" max="22" width="21.5546875" bestFit="1" customWidth="1"/>
  </cols>
  <sheetData>
    <row r="2" spans="3:22" ht="15" thickBot="1" x14ac:dyDescent="0.35"/>
    <row r="3" spans="3:22" ht="43.2" x14ac:dyDescent="0.3">
      <c r="C3" t="s">
        <v>39</v>
      </c>
      <c r="D3" t="s">
        <v>44</v>
      </c>
      <c r="E3" t="s">
        <v>45</v>
      </c>
      <c r="H3" s="28" t="s">
        <v>40</v>
      </c>
      <c r="I3" t="s">
        <v>44</v>
      </c>
      <c r="J3" t="s">
        <v>45</v>
      </c>
      <c r="O3" s="29" t="s">
        <v>79</v>
      </c>
      <c r="P3" s="30" t="s">
        <v>89</v>
      </c>
      <c r="Q3" s="30" t="s">
        <v>80</v>
      </c>
      <c r="R3" s="31" t="s">
        <v>81</v>
      </c>
      <c r="S3" s="31" t="s">
        <v>82</v>
      </c>
      <c r="T3" s="31" t="s">
        <v>83</v>
      </c>
      <c r="U3" s="31" t="s">
        <v>84</v>
      </c>
      <c r="V3" s="32" t="s">
        <v>85</v>
      </c>
    </row>
    <row r="4" spans="3:22" x14ac:dyDescent="0.3">
      <c r="C4" t="s">
        <v>46</v>
      </c>
      <c r="D4">
        <v>900</v>
      </c>
      <c r="E4">
        <f t="shared" ref="E4:E9" si="0">12*D4</f>
        <v>10800</v>
      </c>
      <c r="H4" t="s">
        <v>46</v>
      </c>
      <c r="I4">
        <v>800</v>
      </c>
      <c r="J4">
        <f t="shared" ref="J4:J9" si="1">12*I4</f>
        <v>9600</v>
      </c>
      <c r="O4" s="24" t="s">
        <v>90</v>
      </c>
      <c r="P4" s="25">
        <v>3</v>
      </c>
      <c r="Q4" s="25" t="s">
        <v>86</v>
      </c>
      <c r="R4" s="26">
        <v>700</v>
      </c>
      <c r="S4" s="26">
        <f>R4*1.7</f>
        <v>1190</v>
      </c>
      <c r="T4" s="26">
        <f>P4*R4</f>
        <v>2100</v>
      </c>
      <c r="U4" s="26">
        <f>P4*S4</f>
        <v>3570</v>
      </c>
      <c r="V4" s="27">
        <f>12*U4</f>
        <v>42840</v>
      </c>
    </row>
    <row r="5" spans="3:22" x14ac:dyDescent="0.3">
      <c r="C5" t="s">
        <v>47</v>
      </c>
      <c r="D5">
        <v>700</v>
      </c>
      <c r="E5">
        <f t="shared" si="0"/>
        <v>8400</v>
      </c>
      <c r="H5" t="s">
        <v>47</v>
      </c>
      <c r="I5">
        <v>600</v>
      </c>
      <c r="J5">
        <f t="shared" si="1"/>
        <v>7200</v>
      </c>
      <c r="O5" s="24" t="s">
        <v>91</v>
      </c>
      <c r="P5" s="25">
        <v>1</v>
      </c>
      <c r="Q5" s="25" t="s">
        <v>86</v>
      </c>
      <c r="R5" s="26">
        <v>700</v>
      </c>
      <c r="S5" s="26">
        <f>R5*1.7</f>
        <v>1190</v>
      </c>
      <c r="T5" s="26">
        <f>P5*R5</f>
        <v>700</v>
      </c>
      <c r="U5" s="26">
        <f>P5*S5</f>
        <v>1190</v>
      </c>
      <c r="V5" s="27">
        <f>12*U5</f>
        <v>14280</v>
      </c>
    </row>
    <row r="6" spans="3:22" ht="15" thickBot="1" x14ac:dyDescent="0.35">
      <c r="C6" t="s">
        <v>48</v>
      </c>
      <c r="D6">
        <v>150</v>
      </c>
      <c r="E6">
        <f t="shared" si="0"/>
        <v>1800</v>
      </c>
      <c r="H6" t="s">
        <v>48</v>
      </c>
      <c r="I6">
        <v>100</v>
      </c>
      <c r="J6">
        <f t="shared" si="1"/>
        <v>1200</v>
      </c>
      <c r="O6" s="24" t="s">
        <v>92</v>
      </c>
      <c r="P6" s="25">
        <v>1</v>
      </c>
      <c r="Q6" s="25" t="s">
        <v>87</v>
      </c>
      <c r="R6" s="26">
        <v>800</v>
      </c>
      <c r="S6" s="26">
        <f>R6*1.7</f>
        <v>1360</v>
      </c>
      <c r="T6" s="26">
        <f>P6*R6</f>
        <v>800</v>
      </c>
      <c r="U6" s="26">
        <f>P6*S6</f>
        <v>1360</v>
      </c>
      <c r="V6" s="27">
        <f>12*U6</f>
        <v>16320</v>
      </c>
    </row>
    <row r="7" spans="3:22" ht="15" thickBot="1" x14ac:dyDescent="0.35">
      <c r="C7" t="s">
        <v>49</v>
      </c>
      <c r="D7">
        <v>6120</v>
      </c>
      <c r="E7">
        <f t="shared" si="0"/>
        <v>73440</v>
      </c>
      <c r="H7" t="s">
        <v>49</v>
      </c>
      <c r="I7">
        <v>6120</v>
      </c>
      <c r="J7">
        <f t="shared" si="1"/>
        <v>73440</v>
      </c>
      <c r="O7" s="33" t="s">
        <v>88</v>
      </c>
      <c r="P7" s="33">
        <f>SUM(P4:P6)</f>
        <v>5</v>
      </c>
      <c r="Q7" s="34"/>
      <c r="R7" s="35">
        <f>SUM(R4:R6)</f>
        <v>2200</v>
      </c>
      <c r="S7" s="35">
        <f>SUM(S4:S6)</f>
        <v>3740</v>
      </c>
      <c r="T7" s="35">
        <f>SUM(T4:T6)</f>
        <v>3600</v>
      </c>
      <c r="U7" s="36">
        <f>SUM(U4:U6)</f>
        <v>6120</v>
      </c>
      <c r="V7" s="36">
        <f>SUM(V4:V6)</f>
        <v>73440</v>
      </c>
    </row>
    <row r="8" spans="3:22" x14ac:dyDescent="0.3">
      <c r="C8" t="s">
        <v>50</v>
      </c>
      <c r="D8">
        <v>1546</v>
      </c>
      <c r="E8">
        <f t="shared" si="0"/>
        <v>18552</v>
      </c>
      <c r="H8" t="s">
        <v>50</v>
      </c>
      <c r="I8">
        <v>1056</v>
      </c>
      <c r="J8">
        <f t="shared" si="1"/>
        <v>12672</v>
      </c>
    </row>
    <row r="9" spans="3:22" x14ac:dyDescent="0.3">
      <c r="C9" t="s">
        <v>18</v>
      </c>
      <c r="D9">
        <v>500</v>
      </c>
      <c r="E9">
        <f t="shared" si="0"/>
        <v>6000</v>
      </c>
      <c r="H9" t="s">
        <v>18</v>
      </c>
      <c r="I9">
        <v>250</v>
      </c>
      <c r="J9">
        <f t="shared" si="1"/>
        <v>3000</v>
      </c>
    </row>
    <row r="10" spans="3:22" x14ac:dyDescent="0.3">
      <c r="C10" s="8" t="s">
        <v>51</v>
      </c>
      <c r="D10" s="8">
        <f>SUM(D4:D9)</f>
        <v>9916</v>
      </c>
      <c r="E10" s="8">
        <f>SUM(E4:E9)</f>
        <v>118992</v>
      </c>
      <c r="H10" s="8" t="s">
        <v>51</v>
      </c>
      <c r="I10" s="8">
        <f>SUM(I4:I9)</f>
        <v>8926</v>
      </c>
      <c r="J10" s="8">
        <f>SUM(J4:J9)</f>
        <v>107112</v>
      </c>
    </row>
    <row r="14" spans="3:22" x14ac:dyDescent="0.3">
      <c r="C14" t="s">
        <v>41</v>
      </c>
      <c r="D14" t="s">
        <v>44</v>
      </c>
      <c r="E14" t="s">
        <v>45</v>
      </c>
      <c r="H14" t="s">
        <v>42</v>
      </c>
      <c r="I14" t="s">
        <v>44</v>
      </c>
      <c r="J14" t="s">
        <v>45</v>
      </c>
    </row>
    <row r="15" spans="3:22" x14ac:dyDescent="0.3">
      <c r="C15" t="s">
        <v>46</v>
      </c>
      <c r="D15">
        <v>1000</v>
      </c>
      <c r="E15">
        <f t="shared" ref="E15:E20" si="2">12*D15</f>
        <v>12000</v>
      </c>
      <c r="H15" t="s">
        <v>46</v>
      </c>
      <c r="I15">
        <v>650</v>
      </c>
      <c r="J15">
        <f t="shared" ref="J15:J20" si="3">12*I15</f>
        <v>7800</v>
      </c>
    </row>
    <row r="16" spans="3:22" x14ac:dyDescent="0.3">
      <c r="C16" t="s">
        <v>47</v>
      </c>
      <c r="D16">
        <v>800</v>
      </c>
      <c r="E16">
        <f t="shared" si="2"/>
        <v>9600</v>
      </c>
      <c r="H16" t="s">
        <v>47</v>
      </c>
      <c r="I16">
        <v>300</v>
      </c>
      <c r="J16">
        <f t="shared" si="3"/>
        <v>3600</v>
      </c>
    </row>
    <row r="17" spans="3:10" x14ac:dyDescent="0.3">
      <c r="C17" t="s">
        <v>48</v>
      </c>
      <c r="D17">
        <v>0</v>
      </c>
      <c r="E17">
        <f t="shared" si="2"/>
        <v>0</v>
      </c>
      <c r="H17" t="s">
        <v>48</v>
      </c>
      <c r="I17">
        <v>50</v>
      </c>
      <c r="J17">
        <f t="shared" si="3"/>
        <v>600</v>
      </c>
    </row>
    <row r="18" spans="3:10" x14ac:dyDescent="0.3">
      <c r="C18" t="s">
        <v>49</v>
      </c>
      <c r="D18">
        <v>6120</v>
      </c>
      <c r="E18">
        <f t="shared" si="2"/>
        <v>73440</v>
      </c>
      <c r="H18" t="s">
        <v>49</v>
      </c>
      <c r="I18">
        <v>6120</v>
      </c>
      <c r="J18">
        <f t="shared" si="3"/>
        <v>73440</v>
      </c>
    </row>
    <row r="19" spans="3:10" x14ac:dyDescent="0.3">
      <c r="C19" t="s">
        <v>50</v>
      </c>
      <c r="D19">
        <v>1760</v>
      </c>
      <c r="E19">
        <f t="shared" si="2"/>
        <v>21120</v>
      </c>
      <c r="H19" t="s">
        <v>50</v>
      </c>
      <c r="I19">
        <v>1200</v>
      </c>
      <c r="J19">
        <f t="shared" si="3"/>
        <v>14400</v>
      </c>
    </row>
    <row r="20" spans="3:10" x14ac:dyDescent="0.3">
      <c r="C20" t="s">
        <v>18</v>
      </c>
      <c r="D20">
        <v>450</v>
      </c>
      <c r="E20">
        <f t="shared" si="2"/>
        <v>5400</v>
      </c>
      <c r="H20" t="s">
        <v>18</v>
      </c>
      <c r="I20">
        <v>150</v>
      </c>
      <c r="J20">
        <f t="shared" si="3"/>
        <v>1800</v>
      </c>
    </row>
    <row r="21" spans="3:10" x14ac:dyDescent="0.3">
      <c r="C21" s="8" t="s">
        <v>51</v>
      </c>
      <c r="D21" s="8">
        <f>SUM(D15:D20)</f>
        <v>10130</v>
      </c>
      <c r="E21" s="8">
        <f>SUM(E15:E20)</f>
        <v>121560</v>
      </c>
      <c r="H21" s="8" t="s">
        <v>51</v>
      </c>
      <c r="I21" s="8">
        <f>SUM(I15:I20)</f>
        <v>8470</v>
      </c>
      <c r="J21" s="8">
        <f>SUM(J15:J20)</f>
        <v>101640</v>
      </c>
    </row>
    <row r="25" spans="3:10" x14ac:dyDescent="0.3">
      <c r="C25" t="s">
        <v>43</v>
      </c>
      <c r="D25" t="s">
        <v>44</v>
      </c>
      <c r="E25" t="s">
        <v>45</v>
      </c>
    </row>
    <row r="26" spans="3:10" x14ac:dyDescent="0.3">
      <c r="C26" t="s">
        <v>46</v>
      </c>
      <c r="D26">
        <v>700</v>
      </c>
      <c r="E26">
        <f t="shared" ref="E26:E31" si="4">12*D26</f>
        <v>8400</v>
      </c>
    </row>
    <row r="27" spans="3:10" x14ac:dyDescent="0.3">
      <c r="C27" t="s">
        <v>47</v>
      </c>
      <c r="D27">
        <v>400</v>
      </c>
      <c r="E27">
        <f t="shared" si="4"/>
        <v>4800</v>
      </c>
    </row>
    <row r="28" spans="3:10" x14ac:dyDescent="0.3">
      <c r="C28" t="s">
        <v>48</v>
      </c>
      <c r="D28">
        <v>70</v>
      </c>
      <c r="E28">
        <f t="shared" si="4"/>
        <v>840</v>
      </c>
    </row>
    <row r="29" spans="3:10" x14ac:dyDescent="0.3">
      <c r="C29" t="s">
        <v>49</v>
      </c>
      <c r="D29">
        <v>6120</v>
      </c>
      <c r="E29">
        <f t="shared" si="4"/>
        <v>73440</v>
      </c>
    </row>
    <row r="30" spans="3:10" x14ac:dyDescent="0.3">
      <c r="C30" t="s">
        <v>50</v>
      </c>
      <c r="D30">
        <v>1400</v>
      </c>
      <c r="E30">
        <f t="shared" si="4"/>
        <v>16800</v>
      </c>
    </row>
    <row r="31" spans="3:10" x14ac:dyDescent="0.3">
      <c r="C31" t="s">
        <v>18</v>
      </c>
      <c r="D31">
        <v>250</v>
      </c>
      <c r="E31">
        <f t="shared" si="4"/>
        <v>3000</v>
      </c>
    </row>
    <row r="32" spans="3:10" x14ac:dyDescent="0.3">
      <c r="C32" s="8" t="s">
        <v>51</v>
      </c>
      <c r="D32" s="8">
        <f>SUM(D26:D31)</f>
        <v>8940</v>
      </c>
      <c r="E32" s="8">
        <f>SUM(E26:E31)</f>
        <v>107280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0F43-732E-44D1-A384-603017B6D8D2}">
  <dimension ref="B3:M78"/>
  <sheetViews>
    <sheetView zoomScale="70" workbookViewId="0">
      <selection activeCell="B41" sqref="B41"/>
    </sheetView>
  </sheetViews>
  <sheetFormatPr defaultRowHeight="14.4" x14ac:dyDescent="0.3"/>
  <cols>
    <col min="2" max="2" width="33.88671875" bestFit="1" customWidth="1"/>
    <col min="3" max="3" width="12" bestFit="1" customWidth="1"/>
    <col min="6" max="6" width="10.21875" customWidth="1"/>
    <col min="7" max="7" width="9.33203125" customWidth="1"/>
    <col min="8" max="8" width="15.44140625" customWidth="1"/>
    <col min="9" max="9" width="14" customWidth="1"/>
    <col min="10" max="12" width="12.21875" bestFit="1" customWidth="1"/>
    <col min="13" max="13" width="9.6640625" customWidth="1"/>
  </cols>
  <sheetData>
    <row r="3" spans="2:13" x14ac:dyDescent="0.3">
      <c r="B3" s="13" t="s">
        <v>52</v>
      </c>
      <c r="C3" s="13">
        <v>62580</v>
      </c>
      <c r="F3" t="s">
        <v>70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72</v>
      </c>
      <c r="M3" t="s">
        <v>19</v>
      </c>
    </row>
    <row r="4" spans="2:13" x14ac:dyDescent="0.3">
      <c r="B4" s="13" t="s">
        <v>53</v>
      </c>
      <c r="C4" s="13">
        <v>1</v>
      </c>
      <c r="F4" t="s">
        <v>71</v>
      </c>
      <c r="G4">
        <v>0</v>
      </c>
      <c r="H4" s="5">
        <f>SUM(H19:H30)</f>
        <v>11536.855434922387</v>
      </c>
      <c r="I4" s="5">
        <f>SUM(H31:H42)</f>
        <v>12006.884725783686</v>
      </c>
      <c r="J4" s="5">
        <f>SUM(H43:H54)</f>
        <v>12496.063735172169</v>
      </c>
      <c r="K4" s="5">
        <f>SUM(H55:H66)</f>
        <v>13005.172652167112</v>
      </c>
      <c r="L4" s="5">
        <f>SUM(H67:H78)</f>
        <v>13535.023451954654</v>
      </c>
      <c r="M4">
        <f>SUM(G4:L4)</f>
        <v>62580</v>
      </c>
    </row>
    <row r="5" spans="2:13" x14ac:dyDescent="0.3">
      <c r="B5" s="13" t="s">
        <v>54</v>
      </c>
      <c r="C5" s="13"/>
      <c r="F5" t="s">
        <v>66</v>
      </c>
      <c r="G5" s="5">
        <f>G18</f>
        <v>2503.2000000000003</v>
      </c>
      <c r="H5" s="5">
        <f>SUM(G19:G30)</f>
        <v>2293.2159677004329</v>
      </c>
      <c r="I5" s="5">
        <f>SUM(G31:G42)</f>
        <v>1823.1866768391346</v>
      </c>
      <c r="J5" s="5">
        <f>SUM(G43:G54)</f>
        <v>1334.0076674506518</v>
      </c>
      <c r="K5" s="5">
        <f>SUM(G55:G66)</f>
        <v>824.8987504557083</v>
      </c>
      <c r="L5" s="5">
        <f>SUM(G67:G78)</f>
        <v>295.04795066816729</v>
      </c>
      <c r="M5" s="5">
        <f>SUM(G5:L5)</f>
        <v>9073.5570131140958</v>
      </c>
    </row>
    <row r="6" spans="2:13" x14ac:dyDescent="0.3">
      <c r="B6" s="13" t="s">
        <v>55</v>
      </c>
      <c r="C6" s="19">
        <v>5.0000000000000001E-3</v>
      </c>
      <c r="F6" t="s">
        <v>51</v>
      </c>
      <c r="G6">
        <f t="shared" ref="G6:L6" si="0">SUM(G4:G5)</f>
        <v>2503.2000000000003</v>
      </c>
      <c r="H6">
        <f t="shared" si="0"/>
        <v>13830.07140262282</v>
      </c>
      <c r="I6">
        <f t="shared" si="0"/>
        <v>13830.07140262282</v>
      </c>
      <c r="J6">
        <f t="shared" si="0"/>
        <v>13830.07140262282</v>
      </c>
      <c r="K6">
        <f t="shared" si="0"/>
        <v>13830.07140262282</v>
      </c>
      <c r="L6">
        <f t="shared" si="0"/>
        <v>13830.071402622822</v>
      </c>
      <c r="M6">
        <f>SUM(G6:L6)</f>
        <v>71653.557013114099</v>
      </c>
    </row>
    <row r="7" spans="2:13" x14ac:dyDescent="0.3">
      <c r="B7" s="13" t="s">
        <v>56</v>
      </c>
      <c r="C7" s="20">
        <f>PMT(C13,C9,C10,C11)*-1</f>
        <v>1152.5059502185684</v>
      </c>
      <c r="F7">
        <f>C7*12</f>
        <v>13830.07140262282</v>
      </c>
    </row>
    <row r="8" spans="2:13" x14ac:dyDescent="0.3">
      <c r="B8" s="13" t="s">
        <v>57</v>
      </c>
      <c r="C8" s="21" t="s">
        <v>69</v>
      </c>
    </row>
    <row r="9" spans="2:13" x14ac:dyDescent="0.3">
      <c r="B9" s="13" t="s">
        <v>58</v>
      </c>
      <c r="C9" s="13">
        <v>60</v>
      </c>
    </row>
    <row r="10" spans="2:13" x14ac:dyDescent="0.3">
      <c r="B10" s="13" t="s">
        <v>59</v>
      </c>
      <c r="C10" s="13">
        <v>62580</v>
      </c>
    </row>
    <row r="11" spans="2:13" x14ac:dyDescent="0.3">
      <c r="B11" s="13" t="s">
        <v>60</v>
      </c>
      <c r="C11" s="13">
        <v>0</v>
      </c>
    </row>
    <row r="12" spans="2:13" x14ac:dyDescent="0.3">
      <c r="B12" s="13" t="s">
        <v>61</v>
      </c>
      <c r="C12" s="13">
        <v>12</v>
      </c>
    </row>
    <row r="13" spans="2:13" x14ac:dyDescent="0.3">
      <c r="B13" s="13" t="s">
        <v>62</v>
      </c>
      <c r="C13" s="22">
        <f>C8/C12</f>
        <v>3.3333333333333335E-3</v>
      </c>
    </row>
    <row r="14" spans="2:13" x14ac:dyDescent="0.3">
      <c r="B14" s="13" t="s">
        <v>63</v>
      </c>
      <c r="C14" s="13">
        <v>1</v>
      </c>
    </row>
    <row r="17" spans="5:9" x14ac:dyDescent="0.3">
      <c r="E17" t="s">
        <v>64</v>
      </c>
      <c r="F17" t="s">
        <v>65</v>
      </c>
      <c r="G17" t="s">
        <v>66</v>
      </c>
      <c r="H17" t="s">
        <v>67</v>
      </c>
      <c r="I17" t="s">
        <v>68</v>
      </c>
    </row>
    <row r="18" spans="5:9" x14ac:dyDescent="0.3">
      <c r="E18" s="13" t="s">
        <v>53</v>
      </c>
      <c r="F18" s="13"/>
      <c r="G18" s="23">
        <f>C8*I18</f>
        <v>2503.2000000000003</v>
      </c>
      <c r="H18" s="13"/>
      <c r="I18" s="13">
        <f>C3</f>
        <v>62580</v>
      </c>
    </row>
    <row r="19" spans="5:9" x14ac:dyDescent="0.3">
      <c r="E19" s="13">
        <v>1</v>
      </c>
      <c r="F19" s="20">
        <f>C7</f>
        <v>1152.5059502185684</v>
      </c>
      <c r="G19" s="20">
        <f>I18*C$13</f>
        <v>208.60000000000002</v>
      </c>
      <c r="H19" s="20">
        <f>F19-G19</f>
        <v>943.90595021856836</v>
      </c>
      <c r="I19" s="20">
        <f>IF(E19="","",I18-H19)</f>
        <v>61636.09404978143</v>
      </c>
    </row>
    <row r="20" spans="5:9" x14ac:dyDescent="0.3">
      <c r="E20" s="13">
        <v>2</v>
      </c>
      <c r="F20" s="20">
        <f>F19</f>
        <v>1152.5059502185684</v>
      </c>
      <c r="G20" s="20">
        <f>I19*C$13</f>
        <v>205.45364683260479</v>
      </c>
      <c r="H20" s="20">
        <f>F20-G20</f>
        <v>947.05230338596357</v>
      </c>
      <c r="I20" s="20">
        <f>IF(E20="","",I19-H20)</f>
        <v>60689.041746395465</v>
      </c>
    </row>
    <row r="21" spans="5:9" x14ac:dyDescent="0.3">
      <c r="E21" s="13">
        <v>3</v>
      </c>
      <c r="F21" s="20">
        <f>F20</f>
        <v>1152.5059502185684</v>
      </c>
      <c r="G21" s="20">
        <f>I20*C$13</f>
        <v>202.29680582131823</v>
      </c>
      <c r="H21" s="20">
        <f>F21-G21</f>
        <v>950.20914439725016</v>
      </c>
      <c r="I21" s="20">
        <f>IF(E21="","",I20-H21)</f>
        <v>59738.832601998212</v>
      </c>
    </row>
    <row r="22" spans="5:9" x14ac:dyDescent="0.3">
      <c r="E22" s="13">
        <v>4</v>
      </c>
      <c r="F22" s="20">
        <f t="shared" ref="F22:F78" si="1">F21</f>
        <v>1152.5059502185684</v>
      </c>
      <c r="G22" s="20">
        <f t="shared" ref="G22:G78" si="2">I21*C$13</f>
        <v>199.12944200666072</v>
      </c>
      <c r="H22" s="20">
        <f t="shared" ref="H22:H78" si="3">F22-G22</f>
        <v>953.37650821190766</v>
      </c>
      <c r="I22" s="20">
        <f t="shared" ref="I22:I78" si="4">IF(E22="","",I21-H22)</f>
        <v>58785.456093786306</v>
      </c>
    </row>
    <row r="23" spans="5:9" x14ac:dyDescent="0.3">
      <c r="E23" s="13">
        <v>5</v>
      </c>
      <c r="F23" s="20">
        <f t="shared" si="1"/>
        <v>1152.5059502185684</v>
      </c>
      <c r="G23" s="20">
        <f t="shared" si="2"/>
        <v>195.95152031262103</v>
      </c>
      <c r="H23" s="20">
        <f t="shared" si="3"/>
        <v>956.55442990594736</v>
      </c>
      <c r="I23" s="20">
        <f t="shared" si="4"/>
        <v>57828.901663880359</v>
      </c>
    </row>
    <row r="24" spans="5:9" x14ac:dyDescent="0.3">
      <c r="E24" s="13">
        <v>6</v>
      </c>
      <c r="F24" s="20">
        <f t="shared" si="1"/>
        <v>1152.5059502185684</v>
      </c>
      <c r="G24" s="20">
        <f t="shared" si="2"/>
        <v>192.76300554626786</v>
      </c>
      <c r="H24" s="20">
        <f t="shared" si="3"/>
        <v>959.7429446723005</v>
      </c>
      <c r="I24" s="20">
        <f t="shared" si="4"/>
        <v>56869.158719208055</v>
      </c>
    </row>
    <row r="25" spans="5:9" x14ac:dyDescent="0.3">
      <c r="E25" s="13">
        <v>7</v>
      </c>
      <c r="F25" s="20">
        <f t="shared" si="1"/>
        <v>1152.5059502185684</v>
      </c>
      <c r="G25" s="20">
        <f t="shared" si="2"/>
        <v>189.5638623973602</v>
      </c>
      <c r="H25" s="20">
        <f t="shared" si="3"/>
        <v>962.94208782120813</v>
      </c>
      <c r="I25" s="20">
        <f t="shared" si="4"/>
        <v>55906.216631386844</v>
      </c>
    </row>
    <row r="26" spans="5:9" x14ac:dyDescent="0.3">
      <c r="E26" s="13">
        <v>8</v>
      </c>
      <c r="F26" s="20">
        <f t="shared" si="1"/>
        <v>1152.5059502185684</v>
      </c>
      <c r="G26" s="20">
        <f t="shared" si="2"/>
        <v>186.35405543795616</v>
      </c>
      <c r="H26" s="20">
        <f t="shared" si="3"/>
        <v>966.15189478061222</v>
      </c>
      <c r="I26" s="20">
        <f t="shared" si="4"/>
        <v>54940.064736606233</v>
      </c>
    </row>
    <row r="27" spans="5:9" x14ac:dyDescent="0.3">
      <c r="E27" s="13">
        <v>9</v>
      </c>
      <c r="F27" s="20">
        <f t="shared" si="1"/>
        <v>1152.5059502185684</v>
      </c>
      <c r="G27" s="20">
        <f t="shared" si="2"/>
        <v>183.13354912202078</v>
      </c>
      <c r="H27" s="20">
        <f t="shared" si="3"/>
        <v>969.37240109654761</v>
      </c>
      <c r="I27" s="20">
        <f t="shared" si="4"/>
        <v>53970.692335509688</v>
      </c>
    </row>
    <row r="28" spans="5:9" x14ac:dyDescent="0.3">
      <c r="E28" s="13">
        <v>10</v>
      </c>
      <c r="F28" s="20">
        <f t="shared" si="1"/>
        <v>1152.5059502185684</v>
      </c>
      <c r="G28" s="20">
        <f t="shared" si="2"/>
        <v>179.90230778503229</v>
      </c>
      <c r="H28" s="20">
        <f t="shared" si="3"/>
        <v>972.60364243353615</v>
      </c>
      <c r="I28" s="20">
        <f t="shared" si="4"/>
        <v>52998.088693076148</v>
      </c>
    </row>
    <row r="29" spans="5:9" x14ac:dyDescent="0.3">
      <c r="E29" s="13">
        <v>11</v>
      </c>
      <c r="F29" s="20">
        <f t="shared" si="1"/>
        <v>1152.5059502185684</v>
      </c>
      <c r="G29" s="20">
        <f t="shared" si="2"/>
        <v>176.66029564358718</v>
      </c>
      <c r="H29" s="20">
        <f t="shared" si="3"/>
        <v>975.84565457498115</v>
      </c>
      <c r="I29" s="20">
        <f t="shared" si="4"/>
        <v>52022.243038501168</v>
      </c>
    </row>
    <row r="30" spans="5:9" x14ac:dyDescent="0.3">
      <c r="E30" s="13">
        <v>12</v>
      </c>
      <c r="F30" s="20">
        <f t="shared" si="1"/>
        <v>1152.5059502185684</v>
      </c>
      <c r="G30" s="20">
        <f t="shared" si="2"/>
        <v>173.4074767950039</v>
      </c>
      <c r="H30" s="20">
        <f t="shared" si="3"/>
        <v>979.09847342356443</v>
      </c>
      <c r="I30" s="20">
        <f t="shared" si="4"/>
        <v>51043.1445650776</v>
      </c>
    </row>
    <row r="31" spans="5:9" x14ac:dyDescent="0.3">
      <c r="E31" s="13">
        <v>13</v>
      </c>
      <c r="F31" s="20">
        <f t="shared" si="1"/>
        <v>1152.5059502185684</v>
      </c>
      <c r="G31" s="20">
        <f t="shared" si="2"/>
        <v>170.14381521692533</v>
      </c>
      <c r="H31" s="20">
        <f t="shared" si="3"/>
        <v>982.36213500164308</v>
      </c>
      <c r="I31" s="20">
        <f t="shared" si="4"/>
        <v>50060.78243007596</v>
      </c>
    </row>
    <row r="32" spans="5:9" x14ac:dyDescent="0.3">
      <c r="E32" s="13">
        <v>14</v>
      </c>
      <c r="F32" s="20">
        <f t="shared" si="1"/>
        <v>1152.5059502185684</v>
      </c>
      <c r="G32" s="20">
        <f t="shared" si="2"/>
        <v>166.86927476691989</v>
      </c>
      <c r="H32" s="20">
        <f t="shared" si="3"/>
        <v>985.63667545164844</v>
      </c>
      <c r="I32" s="20">
        <f t="shared" si="4"/>
        <v>49075.145754624311</v>
      </c>
    </row>
    <row r="33" spans="5:9" x14ac:dyDescent="0.3">
      <c r="E33" s="13">
        <v>15</v>
      </c>
      <c r="F33" s="20">
        <f t="shared" si="1"/>
        <v>1152.5059502185684</v>
      </c>
      <c r="G33" s="20">
        <f t="shared" si="2"/>
        <v>163.58381918208104</v>
      </c>
      <c r="H33" s="20">
        <f t="shared" si="3"/>
        <v>988.92213103648737</v>
      </c>
      <c r="I33" s="20">
        <f t="shared" si="4"/>
        <v>48086.223623587823</v>
      </c>
    </row>
    <row r="34" spans="5:9" x14ac:dyDescent="0.3">
      <c r="E34" s="13">
        <v>16</v>
      </c>
      <c r="F34" s="20">
        <f t="shared" si="1"/>
        <v>1152.5059502185684</v>
      </c>
      <c r="G34" s="20">
        <f t="shared" si="2"/>
        <v>160.28741207862609</v>
      </c>
      <c r="H34" s="20">
        <f t="shared" si="3"/>
        <v>992.21853813994232</v>
      </c>
      <c r="I34" s="20">
        <f t="shared" si="4"/>
        <v>47094.005085447883</v>
      </c>
    </row>
    <row r="35" spans="5:9" x14ac:dyDescent="0.3">
      <c r="E35" s="13">
        <v>17</v>
      </c>
      <c r="F35" s="20">
        <f t="shared" si="1"/>
        <v>1152.5059502185684</v>
      </c>
      <c r="G35" s="20">
        <f t="shared" si="2"/>
        <v>156.98001695149296</v>
      </c>
      <c r="H35" s="20">
        <f t="shared" si="3"/>
        <v>995.5259332670754</v>
      </c>
      <c r="I35" s="20">
        <f t="shared" si="4"/>
        <v>46098.479152180807</v>
      </c>
    </row>
    <row r="36" spans="5:9" x14ac:dyDescent="0.3">
      <c r="E36" s="13">
        <v>18</v>
      </c>
      <c r="F36" s="20">
        <f t="shared" si="1"/>
        <v>1152.5059502185684</v>
      </c>
      <c r="G36" s="20">
        <f t="shared" si="2"/>
        <v>153.66159717393603</v>
      </c>
      <c r="H36" s="20">
        <f t="shared" si="3"/>
        <v>998.84435304463238</v>
      </c>
      <c r="I36" s="20">
        <f t="shared" si="4"/>
        <v>45099.634799136176</v>
      </c>
    </row>
    <row r="37" spans="5:9" x14ac:dyDescent="0.3">
      <c r="E37" s="13">
        <v>19</v>
      </c>
      <c r="F37" s="20">
        <f t="shared" si="1"/>
        <v>1152.5059502185684</v>
      </c>
      <c r="G37" s="20">
        <f t="shared" si="2"/>
        <v>150.33211599712061</v>
      </c>
      <c r="H37" s="20">
        <f t="shared" si="3"/>
        <v>1002.1738342214478</v>
      </c>
      <c r="I37" s="20">
        <f t="shared" si="4"/>
        <v>44097.460964914731</v>
      </c>
    </row>
    <row r="38" spans="5:9" x14ac:dyDescent="0.3">
      <c r="E38" s="13">
        <v>20</v>
      </c>
      <c r="F38" s="20">
        <f t="shared" si="1"/>
        <v>1152.5059502185684</v>
      </c>
      <c r="G38" s="20">
        <f t="shared" si="2"/>
        <v>146.99153654971579</v>
      </c>
      <c r="H38" s="20">
        <f t="shared" si="3"/>
        <v>1005.5144136688526</v>
      </c>
      <c r="I38" s="20">
        <f t="shared" si="4"/>
        <v>43091.946551245877</v>
      </c>
    </row>
    <row r="39" spans="5:9" x14ac:dyDescent="0.3">
      <c r="E39" s="13">
        <v>21</v>
      </c>
      <c r="F39" s="20">
        <f t="shared" si="1"/>
        <v>1152.5059502185684</v>
      </c>
      <c r="G39" s="20">
        <f t="shared" si="2"/>
        <v>143.63982183748627</v>
      </c>
      <c r="H39" s="20">
        <f t="shared" si="3"/>
        <v>1008.8661283810821</v>
      </c>
      <c r="I39" s="20">
        <f t="shared" si="4"/>
        <v>42083.080422864798</v>
      </c>
    </row>
    <row r="40" spans="5:9" x14ac:dyDescent="0.3">
      <c r="E40" s="13">
        <v>22</v>
      </c>
      <c r="F40" s="20">
        <f t="shared" si="1"/>
        <v>1152.5059502185684</v>
      </c>
      <c r="G40" s="20">
        <f t="shared" si="2"/>
        <v>140.27693474288267</v>
      </c>
      <c r="H40" s="20">
        <f t="shared" si="3"/>
        <v>1012.2290154756857</v>
      </c>
      <c r="I40" s="20">
        <f t="shared" si="4"/>
        <v>41070.851407389113</v>
      </c>
    </row>
    <row r="41" spans="5:9" x14ac:dyDescent="0.3">
      <c r="E41" s="13">
        <v>23</v>
      </c>
      <c r="F41" s="20">
        <f t="shared" si="1"/>
        <v>1152.5059502185684</v>
      </c>
      <c r="G41" s="20">
        <f t="shared" si="2"/>
        <v>136.9028380246304</v>
      </c>
      <c r="H41" s="20">
        <f t="shared" si="3"/>
        <v>1015.6031121939379</v>
      </c>
      <c r="I41" s="20">
        <f t="shared" si="4"/>
        <v>40055.248295195175</v>
      </c>
    </row>
    <row r="42" spans="5:9" x14ac:dyDescent="0.3">
      <c r="E42" s="13">
        <v>24</v>
      </c>
      <c r="F42" s="20">
        <f t="shared" si="1"/>
        <v>1152.5059502185684</v>
      </c>
      <c r="G42" s="20">
        <f t="shared" si="2"/>
        <v>133.51749431731727</v>
      </c>
      <c r="H42" s="20">
        <f t="shared" si="3"/>
        <v>1018.9884559012511</v>
      </c>
      <c r="I42" s="20">
        <f t="shared" si="4"/>
        <v>39036.259839293925</v>
      </c>
    </row>
    <row r="43" spans="5:9" x14ac:dyDescent="0.3">
      <c r="E43" s="13">
        <v>25</v>
      </c>
      <c r="F43" s="20">
        <f t="shared" si="1"/>
        <v>1152.5059502185684</v>
      </c>
      <c r="G43" s="20">
        <f t="shared" si="2"/>
        <v>130.12086613097975</v>
      </c>
      <c r="H43" s="20">
        <f t="shared" si="3"/>
        <v>1022.3850840875887</v>
      </c>
      <c r="I43" s="20">
        <f t="shared" si="4"/>
        <v>38013.874755206336</v>
      </c>
    </row>
    <row r="44" spans="5:9" x14ac:dyDescent="0.3">
      <c r="E44" s="13">
        <v>26</v>
      </c>
      <c r="F44" s="20">
        <f t="shared" si="1"/>
        <v>1152.5059502185684</v>
      </c>
      <c r="G44" s="20">
        <f t="shared" si="2"/>
        <v>126.71291585068779</v>
      </c>
      <c r="H44" s="20">
        <f t="shared" si="3"/>
        <v>1025.7930343678806</v>
      </c>
      <c r="I44" s="20">
        <f t="shared" si="4"/>
        <v>36988.081720838454</v>
      </c>
    </row>
    <row r="45" spans="5:9" x14ac:dyDescent="0.3">
      <c r="E45" s="13">
        <v>27</v>
      </c>
      <c r="F45" s="20">
        <f t="shared" si="1"/>
        <v>1152.5059502185684</v>
      </c>
      <c r="G45" s="20">
        <f t="shared" si="2"/>
        <v>123.29360573612819</v>
      </c>
      <c r="H45" s="20">
        <f t="shared" si="3"/>
        <v>1029.2123444824401</v>
      </c>
      <c r="I45" s="20">
        <f t="shared" si="4"/>
        <v>35958.869376356015</v>
      </c>
    </row>
    <row r="46" spans="5:9" x14ac:dyDescent="0.3">
      <c r="E46" s="13">
        <v>28</v>
      </c>
      <c r="F46" s="20">
        <f t="shared" si="1"/>
        <v>1152.5059502185684</v>
      </c>
      <c r="G46" s="20">
        <f t="shared" si="2"/>
        <v>119.86289792118673</v>
      </c>
      <c r="H46" s="20">
        <f t="shared" si="3"/>
        <v>1032.6430522973817</v>
      </c>
      <c r="I46" s="20">
        <f t="shared" si="4"/>
        <v>34926.226324058633</v>
      </c>
    </row>
    <row r="47" spans="5:9" x14ac:dyDescent="0.3">
      <c r="E47" s="13">
        <v>29</v>
      </c>
      <c r="F47" s="20">
        <f t="shared" si="1"/>
        <v>1152.5059502185684</v>
      </c>
      <c r="G47" s="20">
        <f t="shared" si="2"/>
        <v>116.42075441352878</v>
      </c>
      <c r="H47" s="20">
        <f t="shared" si="3"/>
        <v>1036.0851958050396</v>
      </c>
      <c r="I47" s="20">
        <f t="shared" si="4"/>
        <v>33890.141128253592</v>
      </c>
    </row>
    <row r="48" spans="5:9" x14ac:dyDescent="0.3">
      <c r="E48" s="13">
        <v>30</v>
      </c>
      <c r="F48" s="20">
        <f t="shared" si="1"/>
        <v>1152.5059502185684</v>
      </c>
      <c r="G48" s="20">
        <f t="shared" si="2"/>
        <v>112.96713709417865</v>
      </c>
      <c r="H48" s="20">
        <f t="shared" si="3"/>
        <v>1039.5388131243897</v>
      </c>
      <c r="I48" s="20">
        <f t="shared" si="4"/>
        <v>32850.602315129203</v>
      </c>
    </row>
    <row r="49" spans="5:9" x14ac:dyDescent="0.3">
      <c r="E49" s="13">
        <v>31</v>
      </c>
      <c r="F49" s="20">
        <f t="shared" si="1"/>
        <v>1152.5059502185684</v>
      </c>
      <c r="G49" s="20">
        <f t="shared" si="2"/>
        <v>109.50200771709736</v>
      </c>
      <c r="H49" s="20">
        <f t="shared" si="3"/>
        <v>1043.0039425014711</v>
      </c>
      <c r="I49" s="20">
        <f t="shared" si="4"/>
        <v>31807.598372627734</v>
      </c>
    </row>
    <row r="50" spans="5:9" x14ac:dyDescent="0.3">
      <c r="E50" s="13">
        <v>32</v>
      </c>
      <c r="F50" s="20">
        <f t="shared" si="1"/>
        <v>1152.5059502185684</v>
      </c>
      <c r="G50" s="20">
        <f t="shared" si="2"/>
        <v>106.02532790875912</v>
      </c>
      <c r="H50" s="20">
        <f t="shared" si="3"/>
        <v>1046.4806223098092</v>
      </c>
      <c r="I50" s="20">
        <f t="shared" si="4"/>
        <v>30761.117750317924</v>
      </c>
    </row>
    <row r="51" spans="5:9" x14ac:dyDescent="0.3">
      <c r="E51" s="13">
        <v>33</v>
      </c>
      <c r="F51" s="20">
        <f t="shared" si="1"/>
        <v>1152.5059502185684</v>
      </c>
      <c r="G51" s="20">
        <f t="shared" si="2"/>
        <v>102.53705916772643</v>
      </c>
      <c r="H51" s="20">
        <f t="shared" si="3"/>
        <v>1049.9688910508419</v>
      </c>
      <c r="I51" s="20">
        <f t="shared" si="4"/>
        <v>29711.148859267083</v>
      </c>
    </row>
    <row r="52" spans="5:9" x14ac:dyDescent="0.3">
      <c r="E52" s="13">
        <v>34</v>
      </c>
      <c r="F52" s="20">
        <f t="shared" si="1"/>
        <v>1152.5059502185684</v>
      </c>
      <c r="G52" s="20">
        <f t="shared" si="2"/>
        <v>99.037162864223617</v>
      </c>
      <c r="H52" s="20">
        <f t="shared" si="3"/>
        <v>1053.4687873543448</v>
      </c>
      <c r="I52" s="20">
        <f t="shared" si="4"/>
        <v>28657.680071912739</v>
      </c>
    </row>
    <row r="53" spans="5:9" x14ac:dyDescent="0.3">
      <c r="E53" s="13">
        <v>35</v>
      </c>
      <c r="F53" s="20">
        <f t="shared" si="1"/>
        <v>1152.5059502185684</v>
      </c>
      <c r="G53" s="20">
        <f t="shared" si="2"/>
        <v>95.525600239709135</v>
      </c>
      <c r="H53" s="20">
        <f t="shared" si="3"/>
        <v>1056.9803499788593</v>
      </c>
      <c r="I53" s="20">
        <f t="shared" si="4"/>
        <v>27600.699721933881</v>
      </c>
    </row>
    <row r="54" spans="5:9" x14ac:dyDescent="0.3">
      <c r="E54" s="13">
        <v>36</v>
      </c>
      <c r="F54" s="20">
        <f t="shared" si="1"/>
        <v>1152.5059502185684</v>
      </c>
      <c r="G54" s="20">
        <f t="shared" si="2"/>
        <v>92.002332406446271</v>
      </c>
      <c r="H54" s="20">
        <f t="shared" si="3"/>
        <v>1060.5036178121222</v>
      </c>
      <c r="I54" s="20">
        <f t="shared" si="4"/>
        <v>26540.196104121758</v>
      </c>
    </row>
    <row r="55" spans="5:9" x14ac:dyDescent="0.3">
      <c r="E55" s="13">
        <v>37</v>
      </c>
      <c r="F55" s="20">
        <f t="shared" si="1"/>
        <v>1152.5059502185684</v>
      </c>
      <c r="G55" s="20">
        <f t="shared" si="2"/>
        <v>88.46732034707253</v>
      </c>
      <c r="H55" s="20">
        <f t="shared" si="3"/>
        <v>1064.0386298714959</v>
      </c>
      <c r="I55" s="20">
        <f t="shared" si="4"/>
        <v>25476.157474250263</v>
      </c>
    </row>
    <row r="56" spans="5:9" x14ac:dyDescent="0.3">
      <c r="E56" s="13">
        <v>38</v>
      </c>
      <c r="F56" s="20">
        <f t="shared" si="1"/>
        <v>1152.5059502185684</v>
      </c>
      <c r="G56" s="20">
        <f t="shared" si="2"/>
        <v>84.920524914167544</v>
      </c>
      <c r="H56" s="20">
        <f t="shared" si="3"/>
        <v>1067.5854253044008</v>
      </c>
      <c r="I56" s="20">
        <f t="shared" si="4"/>
        <v>24408.572048945862</v>
      </c>
    </row>
    <row r="57" spans="5:9" x14ac:dyDescent="0.3">
      <c r="E57" s="13">
        <v>39</v>
      </c>
      <c r="F57" s="20">
        <f t="shared" si="1"/>
        <v>1152.5059502185684</v>
      </c>
      <c r="G57" s="20">
        <f t="shared" si="2"/>
        <v>81.361906829819546</v>
      </c>
      <c r="H57" s="20">
        <f t="shared" si="3"/>
        <v>1071.1440433887487</v>
      </c>
      <c r="I57" s="20">
        <f t="shared" si="4"/>
        <v>23337.428005557114</v>
      </c>
    </row>
    <row r="58" spans="5:9" x14ac:dyDescent="0.3">
      <c r="E58" s="13">
        <v>40</v>
      </c>
      <c r="F58" s="20">
        <f t="shared" si="1"/>
        <v>1152.5059502185684</v>
      </c>
      <c r="G58" s="20">
        <f t="shared" si="2"/>
        <v>77.791426685190388</v>
      </c>
      <c r="H58" s="20">
        <f t="shared" si="3"/>
        <v>1074.714523533378</v>
      </c>
      <c r="I58" s="20">
        <f t="shared" si="4"/>
        <v>22262.713482023737</v>
      </c>
    </row>
    <row r="59" spans="5:9" x14ac:dyDescent="0.3">
      <c r="E59" s="13">
        <v>41</v>
      </c>
      <c r="F59" s="20">
        <f t="shared" si="1"/>
        <v>1152.5059502185684</v>
      </c>
      <c r="G59" s="20">
        <f t="shared" si="2"/>
        <v>74.209044940079124</v>
      </c>
      <c r="H59" s="20">
        <f t="shared" si="3"/>
        <v>1078.2969052784892</v>
      </c>
      <c r="I59" s="20">
        <f t="shared" si="4"/>
        <v>21184.416576745247</v>
      </c>
    </row>
    <row r="60" spans="5:9" x14ac:dyDescent="0.3">
      <c r="E60" s="13">
        <v>42</v>
      </c>
      <c r="F60" s="20">
        <f t="shared" si="1"/>
        <v>1152.5059502185684</v>
      </c>
      <c r="G60" s="20">
        <f t="shared" si="2"/>
        <v>70.614721922484165</v>
      </c>
      <c r="H60" s="20">
        <f t="shared" si="3"/>
        <v>1081.8912282960841</v>
      </c>
      <c r="I60" s="20">
        <f t="shared" si="4"/>
        <v>20102.525348449162</v>
      </c>
    </row>
    <row r="61" spans="5:9" x14ac:dyDescent="0.3">
      <c r="E61" s="13">
        <v>43</v>
      </c>
      <c r="F61" s="20">
        <f t="shared" si="1"/>
        <v>1152.5059502185684</v>
      </c>
      <c r="G61" s="20">
        <f t="shared" si="2"/>
        <v>67.008417828163886</v>
      </c>
      <c r="H61" s="20">
        <f t="shared" si="3"/>
        <v>1085.4975323904046</v>
      </c>
      <c r="I61" s="20">
        <f t="shared" si="4"/>
        <v>19017.027816058759</v>
      </c>
    </row>
    <row r="62" spans="5:9" x14ac:dyDescent="0.3">
      <c r="E62" s="13">
        <v>44</v>
      </c>
      <c r="F62" s="20">
        <f t="shared" si="1"/>
        <v>1152.5059502185684</v>
      </c>
      <c r="G62" s="20">
        <f t="shared" si="2"/>
        <v>63.390092720195867</v>
      </c>
      <c r="H62" s="20">
        <f t="shared" si="3"/>
        <v>1089.1158574983724</v>
      </c>
      <c r="I62" s="20">
        <f t="shared" si="4"/>
        <v>17927.911958560388</v>
      </c>
    </row>
    <row r="63" spans="5:9" x14ac:dyDescent="0.3">
      <c r="E63" s="13">
        <v>45</v>
      </c>
      <c r="F63" s="20">
        <f t="shared" si="1"/>
        <v>1152.5059502185684</v>
      </c>
      <c r="G63" s="20">
        <f t="shared" si="2"/>
        <v>59.759706528534629</v>
      </c>
      <c r="H63" s="20">
        <f t="shared" si="3"/>
        <v>1092.7462436900337</v>
      </c>
      <c r="I63" s="20">
        <f t="shared" si="4"/>
        <v>16835.165714870353</v>
      </c>
    </row>
    <row r="64" spans="5:9" x14ac:dyDescent="0.3">
      <c r="E64" s="13">
        <v>46</v>
      </c>
      <c r="F64" s="20">
        <f t="shared" si="1"/>
        <v>1152.5059502185684</v>
      </c>
      <c r="G64" s="20">
        <f t="shared" si="2"/>
        <v>56.117219049567844</v>
      </c>
      <c r="H64" s="20">
        <f t="shared" si="3"/>
        <v>1096.3887311690005</v>
      </c>
      <c r="I64" s="20">
        <f t="shared" si="4"/>
        <v>15738.776983701351</v>
      </c>
    </row>
    <row r="65" spans="5:9" x14ac:dyDescent="0.3">
      <c r="E65" s="13">
        <v>47</v>
      </c>
      <c r="F65" s="20">
        <f t="shared" si="1"/>
        <v>1152.5059502185684</v>
      </c>
      <c r="G65" s="20">
        <f t="shared" si="2"/>
        <v>52.462589945671176</v>
      </c>
      <c r="H65" s="20">
        <f t="shared" si="3"/>
        <v>1100.0433602728972</v>
      </c>
      <c r="I65" s="20">
        <f t="shared" si="4"/>
        <v>14638.733623428454</v>
      </c>
    </row>
    <row r="66" spans="5:9" x14ac:dyDescent="0.3">
      <c r="E66" s="13">
        <v>48</v>
      </c>
      <c r="F66" s="20">
        <f t="shared" si="1"/>
        <v>1152.5059502185684</v>
      </c>
      <c r="G66" s="20">
        <f t="shared" si="2"/>
        <v>48.795778744761513</v>
      </c>
      <c r="H66" s="20">
        <f t="shared" si="3"/>
        <v>1103.7101714738069</v>
      </c>
      <c r="I66" s="20">
        <f t="shared" si="4"/>
        <v>13535.023451954647</v>
      </c>
    </row>
    <row r="67" spans="5:9" x14ac:dyDescent="0.3">
      <c r="E67" s="13">
        <v>49</v>
      </c>
      <c r="F67" s="20">
        <f t="shared" si="1"/>
        <v>1152.5059502185684</v>
      </c>
      <c r="G67" s="20">
        <f t="shared" si="2"/>
        <v>45.116744839848828</v>
      </c>
      <c r="H67" s="20">
        <f t="shared" si="3"/>
        <v>1107.3892053787195</v>
      </c>
      <c r="I67" s="20">
        <f t="shared" si="4"/>
        <v>12427.634246575926</v>
      </c>
    </row>
    <row r="68" spans="5:9" x14ac:dyDescent="0.3">
      <c r="E68" s="13">
        <v>50</v>
      </c>
      <c r="F68" s="20">
        <f t="shared" si="1"/>
        <v>1152.5059502185684</v>
      </c>
      <c r="G68" s="20">
        <f t="shared" si="2"/>
        <v>41.425447488586421</v>
      </c>
      <c r="H68" s="20">
        <f t="shared" si="3"/>
        <v>1111.0805027299821</v>
      </c>
      <c r="I68" s="20">
        <f t="shared" si="4"/>
        <v>11316.553743845943</v>
      </c>
    </row>
    <row r="69" spans="5:9" x14ac:dyDescent="0.3">
      <c r="E69" s="13">
        <v>51</v>
      </c>
      <c r="F69" s="20">
        <f t="shared" si="1"/>
        <v>1152.5059502185684</v>
      </c>
      <c r="G69" s="20">
        <f t="shared" si="2"/>
        <v>37.721845812819815</v>
      </c>
      <c r="H69" s="20">
        <f t="shared" si="3"/>
        <v>1114.7841044057486</v>
      </c>
      <c r="I69" s="20">
        <f t="shared" si="4"/>
        <v>10201.769639440194</v>
      </c>
    </row>
    <row r="70" spans="5:9" x14ac:dyDescent="0.3">
      <c r="E70" s="13">
        <v>52</v>
      </c>
      <c r="F70" s="20">
        <f t="shared" si="1"/>
        <v>1152.5059502185684</v>
      </c>
      <c r="G70" s="20">
        <f t="shared" si="2"/>
        <v>34.005898798133984</v>
      </c>
      <c r="H70" s="20">
        <f t="shared" si="3"/>
        <v>1118.5000514204344</v>
      </c>
      <c r="I70" s="20">
        <f t="shared" si="4"/>
        <v>9083.2695880197589</v>
      </c>
    </row>
    <row r="71" spans="5:9" x14ac:dyDescent="0.3">
      <c r="E71" s="13">
        <v>53</v>
      </c>
      <c r="F71" s="20">
        <f t="shared" si="1"/>
        <v>1152.5059502185684</v>
      </c>
      <c r="G71" s="20">
        <f t="shared" si="2"/>
        <v>30.277565293399199</v>
      </c>
      <c r="H71" s="20">
        <f t="shared" si="3"/>
        <v>1122.2283849251692</v>
      </c>
      <c r="I71" s="20">
        <f t="shared" si="4"/>
        <v>7961.0412030945899</v>
      </c>
    </row>
    <row r="72" spans="5:9" x14ac:dyDescent="0.3">
      <c r="E72" s="13">
        <v>54</v>
      </c>
      <c r="F72" s="20">
        <f t="shared" si="1"/>
        <v>1152.5059502185684</v>
      </c>
      <c r="G72" s="20">
        <f t="shared" si="2"/>
        <v>26.536804010315301</v>
      </c>
      <c r="H72" s="20">
        <f t="shared" si="3"/>
        <v>1125.9691462082531</v>
      </c>
      <c r="I72" s="20">
        <f t="shared" si="4"/>
        <v>6835.0720568863371</v>
      </c>
    </row>
    <row r="73" spans="5:9" x14ac:dyDescent="0.3">
      <c r="E73" s="13">
        <v>55</v>
      </c>
      <c r="F73" s="20">
        <f t="shared" si="1"/>
        <v>1152.5059502185684</v>
      </c>
      <c r="G73" s="20">
        <f t="shared" si="2"/>
        <v>22.783573522954459</v>
      </c>
      <c r="H73" s="20">
        <f t="shared" si="3"/>
        <v>1129.722376695614</v>
      </c>
      <c r="I73" s="20">
        <f t="shared" si="4"/>
        <v>5705.3496801907231</v>
      </c>
    </row>
    <row r="74" spans="5:9" x14ac:dyDescent="0.3">
      <c r="E74" s="13">
        <v>56</v>
      </c>
      <c r="F74" s="20">
        <f t="shared" si="1"/>
        <v>1152.5059502185684</v>
      </c>
      <c r="G74" s="20">
        <f t="shared" si="2"/>
        <v>19.017832267302413</v>
      </c>
      <c r="H74" s="20">
        <f t="shared" si="3"/>
        <v>1133.4881179512661</v>
      </c>
      <c r="I74" s="20">
        <f t="shared" si="4"/>
        <v>4571.8615622394573</v>
      </c>
    </row>
    <row r="75" spans="5:9" x14ac:dyDescent="0.3">
      <c r="E75" s="13">
        <v>57</v>
      </c>
      <c r="F75" s="20">
        <f t="shared" si="1"/>
        <v>1152.5059502185684</v>
      </c>
      <c r="G75" s="20">
        <f t="shared" si="2"/>
        <v>15.239538540798192</v>
      </c>
      <c r="H75" s="20">
        <f t="shared" si="3"/>
        <v>1137.2664116777703</v>
      </c>
      <c r="I75" s="20">
        <f t="shared" si="4"/>
        <v>3434.5951505616868</v>
      </c>
    </row>
    <row r="76" spans="5:9" x14ac:dyDescent="0.3">
      <c r="E76" s="13">
        <v>58</v>
      </c>
      <c r="F76" s="20">
        <f t="shared" si="1"/>
        <v>1152.5059502185684</v>
      </c>
      <c r="G76" s="20">
        <f t="shared" si="2"/>
        <v>11.44865050187229</v>
      </c>
      <c r="H76" s="20">
        <f t="shared" si="3"/>
        <v>1141.0572997166962</v>
      </c>
      <c r="I76" s="20">
        <f t="shared" si="4"/>
        <v>2293.5378508449903</v>
      </c>
    </row>
    <row r="77" spans="5:9" x14ac:dyDescent="0.3">
      <c r="E77" s="13">
        <v>59</v>
      </c>
      <c r="F77" s="20">
        <f t="shared" si="1"/>
        <v>1152.5059502185684</v>
      </c>
      <c r="G77" s="20">
        <f t="shared" si="2"/>
        <v>7.6451261694833015</v>
      </c>
      <c r="H77" s="20">
        <f t="shared" si="3"/>
        <v>1144.8608240490851</v>
      </c>
      <c r="I77" s="20">
        <f t="shared" si="4"/>
        <v>1148.6770267959052</v>
      </c>
    </row>
    <row r="78" spans="5:9" x14ac:dyDescent="0.3">
      <c r="E78" s="13">
        <v>60</v>
      </c>
      <c r="F78" s="20">
        <f t="shared" si="1"/>
        <v>1152.5059502185684</v>
      </c>
      <c r="G78" s="20">
        <f t="shared" si="2"/>
        <v>3.8289234226530175</v>
      </c>
      <c r="H78" s="20">
        <f t="shared" si="3"/>
        <v>1148.6770267959155</v>
      </c>
      <c r="I78" s="20">
        <f t="shared" si="4"/>
        <v>-1.0231815394945443E-11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743D-854C-40E1-A878-C09F027CF3DD}">
  <dimension ref="B2:G32"/>
  <sheetViews>
    <sheetView workbookViewId="0">
      <selection activeCell="G8" sqref="G8"/>
    </sheetView>
  </sheetViews>
  <sheetFormatPr defaultRowHeight="14.4" x14ac:dyDescent="0.3"/>
  <cols>
    <col min="2" max="2" width="19.109375" customWidth="1"/>
    <col min="3" max="3" width="17.21875" customWidth="1"/>
    <col min="4" max="7" width="9.6640625" customWidth="1"/>
  </cols>
  <sheetData>
    <row r="2" spans="2:7" x14ac:dyDescent="0.3">
      <c r="B2" s="91" t="s">
        <v>126</v>
      </c>
      <c r="C2" s="92">
        <v>2026</v>
      </c>
      <c r="D2" s="92">
        <v>2027</v>
      </c>
      <c r="E2" s="92">
        <v>2028</v>
      </c>
      <c r="F2" s="92">
        <v>2029</v>
      </c>
      <c r="G2" s="92">
        <v>2030</v>
      </c>
    </row>
    <row r="3" spans="2:7" x14ac:dyDescent="0.3">
      <c r="B3" s="92" t="s">
        <v>77</v>
      </c>
      <c r="C3" s="13">
        <f>PRIHODI!I6</f>
        <v>265440</v>
      </c>
      <c r="D3" s="13">
        <f>PRIHODI!I11</f>
        <v>173040</v>
      </c>
      <c r="E3" s="13">
        <f>PRIHODI!I17</f>
        <v>427200</v>
      </c>
      <c r="F3" s="13">
        <f>PRIHODI!I24</f>
        <v>202800</v>
      </c>
      <c r="G3" s="13">
        <f>PRIHODI!I30</f>
        <v>244800</v>
      </c>
    </row>
    <row r="4" spans="2:7" x14ac:dyDescent="0.3">
      <c r="B4" s="92" t="s">
        <v>125</v>
      </c>
      <c r="C4" s="93">
        <f>SUM(C5:C10,C12:C13)</f>
        <v>136636.20000000001</v>
      </c>
      <c r="D4" s="93">
        <f t="shared" ref="D4:G4" si="0">SUM(D5:D10,D12:D13)</f>
        <v>124546.21596770044</v>
      </c>
      <c r="E4" s="93">
        <f t="shared" si="0"/>
        <v>138524.18667683913</v>
      </c>
      <c r="F4" s="93">
        <f t="shared" si="0"/>
        <v>118115.00766745066</v>
      </c>
      <c r="G4" s="93">
        <f t="shared" si="0"/>
        <v>121995.89875045572</v>
      </c>
    </row>
    <row r="5" spans="2:7" x14ac:dyDescent="0.3">
      <c r="B5" s="13" t="s">
        <v>46</v>
      </c>
      <c r="C5" s="13">
        <f>900*12</f>
        <v>10800</v>
      </c>
      <c r="D5" s="13">
        <f>12*800</f>
        <v>9600</v>
      </c>
      <c r="E5" s="13">
        <f>12*1000</f>
        <v>12000</v>
      </c>
      <c r="F5" s="13">
        <f>12*650</f>
        <v>7800</v>
      </c>
      <c r="G5" s="13">
        <f>12*700</f>
        <v>8400</v>
      </c>
    </row>
    <row r="6" spans="2:7" x14ac:dyDescent="0.3">
      <c r="B6" s="13" t="s">
        <v>47</v>
      </c>
      <c r="C6" s="13">
        <f>700*12</f>
        <v>8400</v>
      </c>
      <c r="D6" s="13">
        <f>12*600</f>
        <v>7200</v>
      </c>
      <c r="E6" s="13">
        <f>12*800</f>
        <v>9600</v>
      </c>
      <c r="F6" s="13">
        <f>12*300</f>
        <v>3600</v>
      </c>
      <c r="G6" s="13">
        <f>12*400</f>
        <v>4800</v>
      </c>
    </row>
    <row r="7" spans="2:7" x14ac:dyDescent="0.3">
      <c r="B7" s="13" t="s">
        <v>48</v>
      </c>
      <c r="C7" s="13">
        <f>150*12</f>
        <v>1800</v>
      </c>
      <c r="D7" s="13">
        <f>12*100</f>
        <v>1200</v>
      </c>
      <c r="E7" s="13">
        <f>12*0</f>
        <v>0</v>
      </c>
      <c r="F7" s="13">
        <f>12*50</f>
        <v>600</v>
      </c>
      <c r="G7" s="13">
        <f>12*70</f>
        <v>840</v>
      </c>
    </row>
    <row r="8" spans="2:7" x14ac:dyDescent="0.3">
      <c r="B8" s="13" t="s">
        <v>49</v>
      </c>
      <c r="C8" s="13">
        <f>12*6120</f>
        <v>73440</v>
      </c>
      <c r="D8" s="13">
        <f>12*6120</f>
        <v>73440</v>
      </c>
      <c r="E8" s="13">
        <f>12*6120</f>
        <v>73440</v>
      </c>
      <c r="F8" s="13">
        <f>12*6120</f>
        <v>73440</v>
      </c>
      <c r="G8" s="13">
        <f>12*6120</f>
        <v>73440</v>
      </c>
    </row>
    <row r="9" spans="2:7" x14ac:dyDescent="0.3">
      <c r="B9" s="13" t="s">
        <v>50</v>
      </c>
      <c r="C9" s="13">
        <f>12*1546</f>
        <v>18552</v>
      </c>
      <c r="D9" s="13">
        <f>12*1056</f>
        <v>12672</v>
      </c>
      <c r="E9" s="13">
        <f>12*1760</f>
        <v>21120</v>
      </c>
      <c r="F9" s="13">
        <f>12*1200</f>
        <v>14400</v>
      </c>
      <c r="G9" s="13">
        <f>12*1400</f>
        <v>16800</v>
      </c>
    </row>
    <row r="10" spans="2:7" x14ac:dyDescent="0.3">
      <c r="B10" s="13" t="s">
        <v>18</v>
      </c>
      <c r="C10" s="13">
        <f>12*500</f>
        <v>6000</v>
      </c>
      <c r="D10" s="13">
        <f>12*250</f>
        <v>3000</v>
      </c>
      <c r="E10" s="13">
        <v>5400</v>
      </c>
      <c r="F10" s="13">
        <f>12*150</f>
        <v>1800</v>
      </c>
      <c r="G10" s="13">
        <f>12*250</f>
        <v>3000</v>
      </c>
    </row>
    <row r="11" spans="2:7" x14ac:dyDescent="0.3">
      <c r="B11" s="92" t="s">
        <v>78</v>
      </c>
      <c r="C11" s="92">
        <f>C3-SUM(C5:C10)</f>
        <v>146448</v>
      </c>
      <c r="D11" s="92">
        <f t="shared" ref="D11:G11" si="1">D3-SUM(D5:D10)</f>
        <v>65928</v>
      </c>
      <c r="E11" s="92">
        <f t="shared" si="1"/>
        <v>305640</v>
      </c>
      <c r="F11" s="92">
        <f t="shared" si="1"/>
        <v>101160</v>
      </c>
      <c r="G11" s="92">
        <f t="shared" si="1"/>
        <v>137520</v>
      </c>
    </row>
    <row r="12" spans="2:7" x14ac:dyDescent="0.3">
      <c r="B12" s="13" t="s">
        <v>76</v>
      </c>
      <c r="C12" s="13">
        <v>15141</v>
      </c>
      <c r="D12" s="13">
        <v>15141</v>
      </c>
      <c r="E12" s="13">
        <v>15141</v>
      </c>
      <c r="F12" s="13">
        <v>15141</v>
      </c>
      <c r="G12" s="13">
        <v>13891</v>
      </c>
    </row>
    <row r="13" spans="2:7" x14ac:dyDescent="0.3">
      <c r="B13" s="13" t="s">
        <v>66</v>
      </c>
      <c r="C13" s="93">
        <v>2503.2000000000003</v>
      </c>
      <c r="D13" s="93">
        <v>2293.2159677004329</v>
      </c>
      <c r="E13" s="93">
        <v>1823.1866768391346</v>
      </c>
      <c r="F13" s="93">
        <v>1334.0076674506518</v>
      </c>
      <c r="G13" s="93">
        <v>824.8987504557083</v>
      </c>
    </row>
    <row r="14" spans="2:7" x14ac:dyDescent="0.3">
      <c r="B14" s="13" t="s">
        <v>127</v>
      </c>
      <c r="C14" s="93">
        <f>C11-C12-C13</f>
        <v>128803.8</v>
      </c>
      <c r="D14" s="93">
        <f t="shared" ref="D14:F14" si="2">D11-D12-D13</f>
        <v>48493.784032299569</v>
      </c>
      <c r="E14" s="93">
        <f t="shared" si="2"/>
        <v>288675.81332316087</v>
      </c>
      <c r="F14" s="93">
        <f t="shared" si="2"/>
        <v>84684.992332549344</v>
      </c>
      <c r="G14" s="93">
        <f>G11-G12-G13</f>
        <v>122804.10124954428</v>
      </c>
    </row>
    <row r="15" spans="2:7" x14ac:dyDescent="0.3">
      <c r="B15" s="13" t="s">
        <v>128</v>
      </c>
      <c r="C15" s="93">
        <f>C14*20%</f>
        <v>25760.760000000002</v>
      </c>
      <c r="D15" s="93">
        <f t="shared" ref="D15:F15" si="3">D14*20%</f>
        <v>9698.7568064599145</v>
      </c>
      <c r="E15" s="93">
        <f t="shared" si="3"/>
        <v>57735.162664632175</v>
      </c>
      <c r="F15" s="93">
        <f t="shared" si="3"/>
        <v>16936.998466509871</v>
      </c>
      <c r="G15" s="93">
        <f>G14*20%</f>
        <v>24560.820249908858</v>
      </c>
    </row>
    <row r="16" spans="2:7" x14ac:dyDescent="0.3">
      <c r="B16" s="13" t="s">
        <v>129</v>
      </c>
      <c r="C16" s="93">
        <f>C14-C15</f>
        <v>103043.04000000001</v>
      </c>
      <c r="D16" s="93">
        <f t="shared" ref="D16:G16" si="4">D14-D15</f>
        <v>38795.027225839658</v>
      </c>
      <c r="E16" s="93">
        <f t="shared" si="4"/>
        <v>230940.6506585287</v>
      </c>
      <c r="F16" s="93">
        <f t="shared" si="4"/>
        <v>67747.993866039469</v>
      </c>
      <c r="G16" s="93">
        <f t="shared" si="4"/>
        <v>98243.280999635434</v>
      </c>
    </row>
    <row r="19" spans="2:7" ht="15" thickBot="1" x14ac:dyDescent="0.35"/>
    <row r="20" spans="2:7" ht="16.2" thickBot="1" x14ac:dyDescent="0.35">
      <c r="B20" s="155" t="s">
        <v>135</v>
      </c>
      <c r="C20" s="156"/>
    </row>
    <row r="21" spans="2:7" ht="15.6" x14ac:dyDescent="0.3">
      <c r="B21" s="86" t="s">
        <v>130</v>
      </c>
      <c r="C21" s="87">
        <f>SUM(C22:C25)</f>
        <v>95404.2</v>
      </c>
    </row>
    <row r="22" spans="2:7" ht="15.6" x14ac:dyDescent="0.3">
      <c r="B22" s="81" t="s">
        <v>76</v>
      </c>
      <c r="C22" s="82">
        <f>C12</f>
        <v>15141</v>
      </c>
    </row>
    <row r="23" spans="2:7" ht="15.6" x14ac:dyDescent="0.3">
      <c r="B23" s="81" t="s">
        <v>131</v>
      </c>
      <c r="C23" s="82">
        <f>C8</f>
        <v>73440</v>
      </c>
      <c r="F23" s="80" t="s">
        <v>141</v>
      </c>
      <c r="G23" s="18">
        <f>C21/(C3-C26)</f>
        <v>0.42551648469278525</v>
      </c>
    </row>
    <row r="24" spans="2:7" ht="15.6" x14ac:dyDescent="0.3">
      <c r="B24" s="81" t="s">
        <v>66</v>
      </c>
      <c r="C24" s="82">
        <f>C13</f>
        <v>2503.2000000000003</v>
      </c>
      <c r="F24" s="80" t="s">
        <v>142</v>
      </c>
      <c r="G24" s="18">
        <f>(C21+C26)/C3</f>
        <v>0.51475361663652808</v>
      </c>
    </row>
    <row r="25" spans="2:7" ht="31.2" x14ac:dyDescent="0.3">
      <c r="B25" s="81" t="s">
        <v>136</v>
      </c>
      <c r="C25" s="82">
        <f>C5*40%</f>
        <v>4320</v>
      </c>
    </row>
    <row r="26" spans="2:7" ht="28.8" x14ac:dyDescent="0.3">
      <c r="B26" s="88" t="s">
        <v>132</v>
      </c>
      <c r="C26" s="89">
        <f>SUM(C27:C31)</f>
        <v>41232</v>
      </c>
    </row>
    <row r="27" spans="2:7" ht="15.6" x14ac:dyDescent="0.3">
      <c r="B27" s="83" t="s">
        <v>140</v>
      </c>
      <c r="C27">
        <f>C7</f>
        <v>1800</v>
      </c>
    </row>
    <row r="28" spans="2:7" ht="28.8" x14ac:dyDescent="0.3">
      <c r="B28" s="84" t="s">
        <v>139</v>
      </c>
      <c r="C28" s="85">
        <f>C9</f>
        <v>18552</v>
      </c>
    </row>
    <row r="29" spans="2:7" ht="15.6" x14ac:dyDescent="0.3">
      <c r="B29" s="81" t="s">
        <v>138</v>
      </c>
      <c r="C29" s="82">
        <f>C6</f>
        <v>8400</v>
      </c>
    </row>
    <row r="30" spans="2:7" ht="31.2" x14ac:dyDescent="0.3">
      <c r="B30" s="81" t="s">
        <v>137</v>
      </c>
      <c r="C30" s="82">
        <f>C5*60%</f>
        <v>6480</v>
      </c>
    </row>
    <row r="31" spans="2:7" ht="31.2" x14ac:dyDescent="0.3">
      <c r="B31" s="83" t="s">
        <v>133</v>
      </c>
      <c r="C31" s="82">
        <f>C10</f>
        <v>6000</v>
      </c>
    </row>
    <row r="32" spans="2:7" ht="28.8" x14ac:dyDescent="0.3">
      <c r="B32" s="88" t="s">
        <v>134</v>
      </c>
      <c r="C32" s="89">
        <f>SUM(C21+C26)</f>
        <v>136636.20000000001</v>
      </c>
    </row>
  </sheetData>
  <mergeCells count="1">
    <mergeCell ref="B20:C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4EB4-FCA8-4684-BC61-E19BFC91CA7E}">
  <dimension ref="A1:H30"/>
  <sheetViews>
    <sheetView topLeftCell="B1" workbookViewId="0">
      <selection activeCell="J14" sqref="J14"/>
    </sheetView>
  </sheetViews>
  <sheetFormatPr defaultRowHeight="14.4" x14ac:dyDescent="0.3"/>
  <cols>
    <col min="1" max="1" width="23.88671875" bestFit="1" customWidth="1"/>
    <col min="2" max="3" width="10.44140625" customWidth="1"/>
    <col min="4" max="8" width="13.109375" bestFit="1" customWidth="1"/>
  </cols>
  <sheetData>
    <row r="1" spans="1:8" x14ac:dyDescent="0.3">
      <c r="A1" s="9" t="s">
        <v>143</v>
      </c>
      <c r="B1" s="103" t="s">
        <v>157</v>
      </c>
      <c r="C1" s="103" t="s">
        <v>158</v>
      </c>
      <c r="D1" s="10" t="s">
        <v>39</v>
      </c>
      <c r="E1" s="10" t="s">
        <v>40</v>
      </c>
      <c r="F1" s="10" t="s">
        <v>41</v>
      </c>
      <c r="G1" s="10" t="s">
        <v>42</v>
      </c>
      <c r="H1" s="11" t="s">
        <v>43</v>
      </c>
    </row>
    <row r="2" spans="1:8" x14ac:dyDescent="0.3">
      <c r="A2" s="12" t="s">
        <v>144</v>
      </c>
      <c r="B2" s="13" t="s">
        <v>145</v>
      </c>
      <c r="C2" s="13" t="s">
        <v>146</v>
      </c>
      <c r="D2" s="13" t="s">
        <v>147</v>
      </c>
      <c r="E2" s="13" t="s">
        <v>147</v>
      </c>
      <c r="F2" s="13" t="s">
        <v>147</v>
      </c>
      <c r="G2" s="13" t="s">
        <v>147</v>
      </c>
      <c r="H2" s="14" t="s">
        <v>147</v>
      </c>
    </row>
    <row r="3" spans="1:8" x14ac:dyDescent="0.3">
      <c r="A3" s="12" t="s">
        <v>50</v>
      </c>
      <c r="B3" s="13">
        <v>30</v>
      </c>
      <c r="C3" s="93">
        <f>365/B3</f>
        <v>12.166666666666666</v>
      </c>
      <c r="D3" s="13">
        <f>RDG!C9</f>
        <v>18552</v>
      </c>
      <c r="E3" s="13">
        <f>RDG!D9</f>
        <v>12672</v>
      </c>
      <c r="F3" s="13">
        <f>RDG!E9</f>
        <v>21120</v>
      </c>
      <c r="G3" s="13">
        <f>RDG!F9</f>
        <v>14400</v>
      </c>
      <c r="H3" s="14">
        <f>RDG!G9</f>
        <v>16800</v>
      </c>
    </row>
    <row r="4" spans="1:8" x14ac:dyDescent="0.3">
      <c r="A4" s="12" t="s">
        <v>47</v>
      </c>
      <c r="B4" s="13">
        <v>30</v>
      </c>
      <c r="C4" s="93">
        <f t="shared" ref="C4:C5" si="0">365/B4</f>
        <v>12.166666666666666</v>
      </c>
      <c r="D4" s="13">
        <f>RDG!C6</f>
        <v>8400</v>
      </c>
      <c r="E4" s="13">
        <f>RDG!D6</f>
        <v>7200</v>
      </c>
      <c r="F4" s="13">
        <f>RDG!E6</f>
        <v>9600</v>
      </c>
      <c r="G4" s="13">
        <f>RDG!F6</f>
        <v>3600</v>
      </c>
      <c r="H4" s="14">
        <f>RDG!G6</f>
        <v>4800</v>
      </c>
    </row>
    <row r="5" spans="1:8" x14ac:dyDescent="0.3">
      <c r="A5" s="12" t="s">
        <v>48</v>
      </c>
      <c r="B5" s="13">
        <v>30</v>
      </c>
      <c r="C5" s="93">
        <f t="shared" si="0"/>
        <v>12.166666666666666</v>
      </c>
      <c r="D5" s="13">
        <f>RDG!C7</f>
        <v>1800</v>
      </c>
      <c r="E5" s="13">
        <f>RDG!D7</f>
        <v>1200</v>
      </c>
      <c r="F5" s="13">
        <f>RDG!E7</f>
        <v>0</v>
      </c>
      <c r="G5" s="13">
        <f>RDG!F7</f>
        <v>600</v>
      </c>
      <c r="H5" s="14">
        <f>RDG!G7</f>
        <v>840</v>
      </c>
    </row>
    <row r="6" spans="1:8" x14ac:dyDescent="0.3">
      <c r="A6" s="12" t="s">
        <v>148</v>
      </c>
      <c r="B6" s="13">
        <v>7</v>
      </c>
      <c r="C6" s="93">
        <f t="shared" ref="C6:C7" si="1">365/B6</f>
        <v>52.142857142857146</v>
      </c>
      <c r="D6" s="13">
        <f>RDG!C3</f>
        <v>265440</v>
      </c>
      <c r="E6" s="13">
        <f>RDG!D3</f>
        <v>173040</v>
      </c>
      <c r="F6" s="13">
        <f>RDG!E3</f>
        <v>427200</v>
      </c>
      <c r="G6" s="13">
        <f>RDG!F3</f>
        <v>202800</v>
      </c>
      <c r="H6" s="14">
        <f>RDG!G3</f>
        <v>244800</v>
      </c>
    </row>
    <row r="7" spans="1:8" x14ac:dyDescent="0.3">
      <c r="A7" s="12" t="s">
        <v>149</v>
      </c>
      <c r="B7" s="13">
        <v>3</v>
      </c>
      <c r="C7" s="93">
        <f t="shared" si="1"/>
        <v>121.66666666666667</v>
      </c>
      <c r="D7" s="13">
        <f>D6</f>
        <v>265440</v>
      </c>
      <c r="E7" s="13">
        <f>E6</f>
        <v>173040</v>
      </c>
      <c r="F7" s="13">
        <f t="shared" ref="F7:H7" si="2">F6</f>
        <v>427200</v>
      </c>
      <c r="G7" s="13">
        <f t="shared" si="2"/>
        <v>202800</v>
      </c>
      <c r="H7" s="14">
        <f t="shared" si="2"/>
        <v>244800</v>
      </c>
    </row>
    <row r="8" spans="1:8" x14ac:dyDescent="0.3">
      <c r="A8" s="99" t="s">
        <v>153</v>
      </c>
      <c r="B8" s="100"/>
      <c r="C8" s="100"/>
      <c r="D8" s="100"/>
      <c r="E8" s="100"/>
      <c r="F8" s="100"/>
      <c r="G8" s="100"/>
      <c r="H8" s="101"/>
    </row>
    <row r="9" spans="1:8" x14ac:dyDescent="0.3">
      <c r="A9" s="12" t="s">
        <v>150</v>
      </c>
      <c r="B9" s="13">
        <v>30</v>
      </c>
      <c r="C9" s="93">
        <f t="shared" ref="C9:C13" si="3">365/B9</f>
        <v>12.166666666666666</v>
      </c>
      <c r="D9" s="13">
        <f>SUM(RDG!C5:C6,RDG!C9:C10)</f>
        <v>43752</v>
      </c>
      <c r="E9" s="13">
        <f>SUM(RDG!D5:D6,RDG!D9:D10)</f>
        <v>32472</v>
      </c>
      <c r="F9" s="13">
        <f>SUM(RDG!E5:E6,RDG!E9:E10)</f>
        <v>48120</v>
      </c>
      <c r="G9" s="13">
        <f>SUM(RDG!F5:F6,RDG!F9:F10)</f>
        <v>27600</v>
      </c>
      <c r="H9" s="14">
        <f>SUM(RDG!G5:G6,RDG!G9:G10)</f>
        <v>33000</v>
      </c>
    </row>
    <row r="10" spans="1:8" x14ac:dyDescent="0.3">
      <c r="A10" s="12" t="s">
        <v>49</v>
      </c>
      <c r="B10" s="13">
        <v>30</v>
      </c>
      <c r="C10" s="93">
        <f t="shared" si="3"/>
        <v>12.166666666666666</v>
      </c>
      <c r="D10" s="13">
        <f>RDG!C8</f>
        <v>73440</v>
      </c>
      <c r="E10" s="13">
        <f>RDG!D8</f>
        <v>73440</v>
      </c>
      <c r="F10" s="13">
        <f>RDG!E8</f>
        <v>73440</v>
      </c>
      <c r="G10" s="13">
        <f>RDG!F8</f>
        <v>73440</v>
      </c>
      <c r="H10" s="14">
        <f>RDG!G8</f>
        <v>73440</v>
      </c>
    </row>
    <row r="11" spans="1:8" x14ac:dyDescent="0.3">
      <c r="A11" s="12" t="s">
        <v>76</v>
      </c>
      <c r="B11" s="13">
        <v>30</v>
      </c>
      <c r="C11" s="93">
        <f t="shared" si="3"/>
        <v>12.166666666666666</v>
      </c>
      <c r="D11" s="13">
        <f>RDG!C12</f>
        <v>15141</v>
      </c>
      <c r="E11" s="13">
        <f>RDG!D12</f>
        <v>15141</v>
      </c>
      <c r="F11" s="13">
        <f>RDG!E12</f>
        <v>15141</v>
      </c>
      <c r="G11" s="13">
        <f>RDG!F12</f>
        <v>15141</v>
      </c>
      <c r="H11" s="14">
        <f>RDG!G12</f>
        <v>13891</v>
      </c>
    </row>
    <row r="12" spans="1:8" x14ac:dyDescent="0.3">
      <c r="A12" s="12" t="s">
        <v>151</v>
      </c>
      <c r="B12" s="13">
        <v>30</v>
      </c>
      <c r="C12" s="93">
        <f t="shared" si="3"/>
        <v>12.166666666666666</v>
      </c>
      <c r="D12" s="93">
        <f>RDG!C15</f>
        <v>25760.760000000002</v>
      </c>
      <c r="E12" s="93">
        <f>RDG!D15</f>
        <v>9698.7568064599145</v>
      </c>
      <c r="F12" s="93">
        <f>RDG!E15</f>
        <v>57735.162664632175</v>
      </c>
      <c r="G12" s="93">
        <f>RDG!F15</f>
        <v>16936.998466509871</v>
      </c>
      <c r="H12" s="95">
        <f>RDG!G15</f>
        <v>24560.820249908858</v>
      </c>
    </row>
    <row r="13" spans="1:8" x14ac:dyDescent="0.3">
      <c r="A13" s="90" t="s">
        <v>152</v>
      </c>
      <c r="B13" s="96">
        <v>30</v>
      </c>
      <c r="C13" s="97">
        <f t="shared" si="3"/>
        <v>12.166666666666666</v>
      </c>
      <c r="D13" s="97">
        <f>RDG!C4</f>
        <v>136636.20000000001</v>
      </c>
      <c r="E13" s="97">
        <f>RDG!D4</f>
        <v>124546.21596770044</v>
      </c>
      <c r="F13" s="97">
        <f>RDG!E4</f>
        <v>138524.18667683913</v>
      </c>
      <c r="G13" s="97">
        <f>RDG!F4</f>
        <v>118115.00766745066</v>
      </c>
      <c r="H13" s="98">
        <f>RDG!G4</f>
        <v>121995.89875045572</v>
      </c>
    </row>
    <row r="16" spans="1:8" x14ac:dyDescent="0.3">
      <c r="A16" t="s">
        <v>143</v>
      </c>
      <c r="B16" s="104" t="s">
        <v>157</v>
      </c>
      <c r="C16" s="104" t="s">
        <v>158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</row>
    <row r="17" spans="1:8" x14ac:dyDescent="0.3">
      <c r="A17" t="s">
        <v>144</v>
      </c>
      <c r="B17" t="s">
        <v>145</v>
      </c>
      <c r="C17" t="s">
        <v>146</v>
      </c>
      <c r="D17" t="s">
        <v>156</v>
      </c>
      <c r="E17" t="s">
        <v>156</v>
      </c>
      <c r="F17" t="s">
        <v>156</v>
      </c>
      <c r="G17" t="s">
        <v>156</v>
      </c>
      <c r="H17" t="s">
        <v>156</v>
      </c>
    </row>
    <row r="18" spans="1:8" x14ac:dyDescent="0.3">
      <c r="A18" t="s">
        <v>50</v>
      </c>
      <c r="B18">
        <v>30</v>
      </c>
      <c r="C18" s="7">
        <f>365/B18</f>
        <v>12.166666666666666</v>
      </c>
      <c r="D18" s="7">
        <f t="shared" ref="D18:H22" si="4">D3/$C3</f>
        <v>1524.8219178082193</v>
      </c>
      <c r="E18" s="7">
        <f t="shared" si="4"/>
        <v>1041.5342465753424</v>
      </c>
      <c r="F18" s="7">
        <f t="shared" si="4"/>
        <v>1735.8904109589041</v>
      </c>
      <c r="G18" s="7">
        <f t="shared" si="4"/>
        <v>1183.5616438356165</v>
      </c>
      <c r="H18" s="7">
        <f t="shared" si="4"/>
        <v>1380.8219178082193</v>
      </c>
    </row>
    <row r="19" spans="1:8" x14ac:dyDescent="0.3">
      <c r="A19" t="s">
        <v>47</v>
      </c>
      <c r="B19">
        <v>30</v>
      </c>
      <c r="C19" s="7">
        <f t="shared" ref="C19:C22" si="5">365/B19</f>
        <v>12.166666666666666</v>
      </c>
      <c r="D19" s="7">
        <f t="shared" si="4"/>
        <v>690.41095890410963</v>
      </c>
      <c r="E19" s="7">
        <f t="shared" si="4"/>
        <v>591.78082191780823</v>
      </c>
      <c r="F19" s="7">
        <f t="shared" si="4"/>
        <v>789.04109589041104</v>
      </c>
      <c r="G19" s="7">
        <f t="shared" si="4"/>
        <v>295.89041095890411</v>
      </c>
      <c r="H19" s="7">
        <f t="shared" si="4"/>
        <v>394.52054794520552</v>
      </c>
    </row>
    <row r="20" spans="1:8" x14ac:dyDescent="0.3">
      <c r="A20" t="s">
        <v>48</v>
      </c>
      <c r="B20">
        <v>30</v>
      </c>
      <c r="C20" s="7">
        <f t="shared" si="5"/>
        <v>12.166666666666666</v>
      </c>
      <c r="D20" s="7">
        <f t="shared" si="4"/>
        <v>147.94520547945206</v>
      </c>
      <c r="E20" s="7">
        <f t="shared" si="4"/>
        <v>98.63013698630138</v>
      </c>
      <c r="F20" s="7">
        <f t="shared" si="4"/>
        <v>0</v>
      </c>
      <c r="G20" s="7">
        <f t="shared" si="4"/>
        <v>49.31506849315069</v>
      </c>
      <c r="H20" s="7">
        <f t="shared" si="4"/>
        <v>69.041095890410958</v>
      </c>
    </row>
    <row r="21" spans="1:8" x14ac:dyDescent="0.3">
      <c r="A21" t="s">
        <v>148</v>
      </c>
      <c r="B21">
        <v>7</v>
      </c>
      <c r="C21" s="7">
        <f t="shared" si="5"/>
        <v>52.142857142857146</v>
      </c>
      <c r="D21" s="7">
        <f t="shared" si="4"/>
        <v>5090.6301369863013</v>
      </c>
      <c r="E21" s="7">
        <f t="shared" si="4"/>
        <v>3318.5753424657532</v>
      </c>
      <c r="F21" s="7">
        <f t="shared" si="4"/>
        <v>8192.8767123287671</v>
      </c>
      <c r="G21" s="7">
        <f t="shared" si="4"/>
        <v>3889.3150684931506</v>
      </c>
      <c r="H21" s="7">
        <f t="shared" si="4"/>
        <v>4694.7945205479446</v>
      </c>
    </row>
    <row r="22" spans="1:8" x14ac:dyDescent="0.3">
      <c r="A22" t="s">
        <v>149</v>
      </c>
      <c r="B22">
        <v>3</v>
      </c>
      <c r="C22" s="7">
        <f t="shared" si="5"/>
        <v>121.66666666666667</v>
      </c>
      <c r="D22" s="7">
        <f t="shared" si="4"/>
        <v>2181.6986301369861</v>
      </c>
      <c r="E22" s="7">
        <f t="shared" si="4"/>
        <v>1422.2465753424658</v>
      </c>
      <c r="F22" s="7">
        <f t="shared" si="4"/>
        <v>3511.2328767123286</v>
      </c>
      <c r="G22" s="7">
        <f t="shared" si="4"/>
        <v>1666.8493150684931</v>
      </c>
      <c r="H22" s="7">
        <f t="shared" si="4"/>
        <v>2012.0547945205478</v>
      </c>
    </row>
    <row r="23" spans="1:8" x14ac:dyDescent="0.3">
      <c r="A23" s="8" t="s">
        <v>153</v>
      </c>
      <c r="B23" s="8"/>
      <c r="C23" s="8"/>
      <c r="D23" s="94">
        <f>SUM(D18:D22)</f>
        <v>9635.5068493150684</v>
      </c>
      <c r="E23" s="94">
        <f t="shared" ref="E23:H23" si="6">SUM(E18:E22)</f>
        <v>6472.767123287671</v>
      </c>
      <c r="F23" s="94">
        <f t="shared" si="6"/>
        <v>14229.04109589041</v>
      </c>
      <c r="G23" s="94">
        <f t="shared" si="6"/>
        <v>7084.9315068493142</v>
      </c>
      <c r="H23" s="94">
        <f t="shared" si="6"/>
        <v>8551.2328767123272</v>
      </c>
    </row>
    <row r="24" spans="1:8" x14ac:dyDescent="0.3">
      <c r="A24" t="s">
        <v>150</v>
      </c>
      <c r="B24">
        <v>30</v>
      </c>
      <c r="C24" s="7">
        <f t="shared" ref="C24:C28" si="7">365/B24</f>
        <v>12.166666666666666</v>
      </c>
      <c r="D24" s="7">
        <f t="shared" ref="D24:H28" si="8">D9/$C9</f>
        <v>3596.0547945205481</v>
      </c>
      <c r="E24" s="7">
        <f t="shared" si="8"/>
        <v>2668.9315068493152</v>
      </c>
      <c r="F24" s="7">
        <f t="shared" si="8"/>
        <v>3955.0684931506853</v>
      </c>
      <c r="G24" s="7">
        <f t="shared" si="8"/>
        <v>2268.4931506849316</v>
      </c>
      <c r="H24" s="7">
        <f t="shared" si="8"/>
        <v>2712.3287671232879</v>
      </c>
    </row>
    <row r="25" spans="1:8" x14ac:dyDescent="0.3">
      <c r="A25" t="s">
        <v>49</v>
      </c>
      <c r="B25">
        <v>30</v>
      </c>
      <c r="C25" s="7">
        <f t="shared" si="7"/>
        <v>12.166666666666666</v>
      </c>
      <c r="D25" s="7">
        <f t="shared" si="8"/>
        <v>6036.1643835616442</v>
      </c>
      <c r="E25" s="7">
        <f t="shared" si="8"/>
        <v>6036.1643835616442</v>
      </c>
      <c r="F25" s="7">
        <f t="shared" si="8"/>
        <v>6036.1643835616442</v>
      </c>
      <c r="G25" s="7">
        <f t="shared" si="8"/>
        <v>6036.1643835616442</v>
      </c>
      <c r="H25" s="7">
        <f t="shared" si="8"/>
        <v>6036.1643835616442</v>
      </c>
    </row>
    <row r="26" spans="1:8" x14ac:dyDescent="0.3">
      <c r="A26" t="s">
        <v>76</v>
      </c>
      <c r="B26">
        <v>30</v>
      </c>
      <c r="C26" s="7">
        <f t="shared" si="7"/>
        <v>12.166666666666666</v>
      </c>
      <c r="D26" s="7">
        <f t="shared" si="8"/>
        <v>1244.4657534246576</v>
      </c>
      <c r="E26" s="7">
        <f t="shared" si="8"/>
        <v>1244.4657534246576</v>
      </c>
      <c r="F26" s="7">
        <f t="shared" si="8"/>
        <v>1244.4657534246576</v>
      </c>
      <c r="G26" s="7">
        <f t="shared" si="8"/>
        <v>1244.4657534246576</v>
      </c>
      <c r="H26" s="7">
        <f t="shared" si="8"/>
        <v>1141.7260273972604</v>
      </c>
    </row>
    <row r="27" spans="1:8" x14ac:dyDescent="0.3">
      <c r="A27" t="s">
        <v>151</v>
      </c>
      <c r="B27">
        <v>30</v>
      </c>
      <c r="C27" s="7">
        <f t="shared" si="7"/>
        <v>12.166666666666666</v>
      </c>
      <c r="D27" s="7">
        <f t="shared" si="8"/>
        <v>2117.3227397260275</v>
      </c>
      <c r="E27" s="7">
        <f t="shared" si="8"/>
        <v>797.15809368163684</v>
      </c>
      <c r="F27" s="7">
        <f t="shared" si="8"/>
        <v>4745.3558354492197</v>
      </c>
      <c r="G27" s="7">
        <f t="shared" si="8"/>
        <v>1392.0820657405375</v>
      </c>
      <c r="H27" s="7">
        <f t="shared" si="8"/>
        <v>2018.6975547870295</v>
      </c>
    </row>
    <row r="28" spans="1:8" x14ac:dyDescent="0.3">
      <c r="A28" t="s">
        <v>152</v>
      </c>
      <c r="B28">
        <v>30</v>
      </c>
      <c r="C28" s="7">
        <f t="shared" si="7"/>
        <v>12.166666666666666</v>
      </c>
      <c r="D28" s="7">
        <f t="shared" si="8"/>
        <v>11230.372602739728</v>
      </c>
      <c r="E28" s="7">
        <f t="shared" si="8"/>
        <v>10236.675285016476</v>
      </c>
      <c r="F28" s="7">
        <f t="shared" si="8"/>
        <v>11385.54958987719</v>
      </c>
      <c r="G28" s="7">
        <f t="shared" si="8"/>
        <v>9708.082821982247</v>
      </c>
      <c r="H28" s="7">
        <f t="shared" si="8"/>
        <v>10027.060171270334</v>
      </c>
    </row>
    <row r="29" spans="1:8" x14ac:dyDescent="0.3">
      <c r="A29" s="8" t="s">
        <v>154</v>
      </c>
      <c r="B29" s="8"/>
      <c r="C29" s="8"/>
      <c r="D29" s="94">
        <f>SUM(D24:D28)</f>
        <v>24224.380273972605</v>
      </c>
      <c r="E29" s="94">
        <f t="shared" ref="E29:H29" si="9">SUM(E24:E28)</f>
        <v>20983.395022533732</v>
      </c>
      <c r="F29" s="94">
        <f t="shared" si="9"/>
        <v>27366.604055463395</v>
      </c>
      <c r="G29" s="94">
        <f t="shared" si="9"/>
        <v>20649.28817539402</v>
      </c>
      <c r="H29" s="94">
        <f t="shared" si="9"/>
        <v>21935.976904139556</v>
      </c>
    </row>
    <row r="30" spans="1:8" x14ac:dyDescent="0.3">
      <c r="A30" s="8" t="s">
        <v>155</v>
      </c>
      <c r="B30" s="8"/>
      <c r="C30" s="8"/>
      <c r="D30" s="94">
        <f>D23-D29</f>
        <v>-14588.873424657537</v>
      </c>
      <c r="E30" s="94">
        <f t="shared" ref="E30:H30" si="10">E23-E29</f>
        <v>-14510.627899246061</v>
      </c>
      <c r="F30" s="94">
        <f t="shared" si="10"/>
        <v>-13137.562959572984</v>
      </c>
      <c r="G30" s="94">
        <f t="shared" si="10"/>
        <v>-13564.356668544706</v>
      </c>
      <c r="H30" s="94">
        <f t="shared" si="10"/>
        <v>-13384.744027427229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4A02-6CC8-4A9B-8CEB-368932B92BC5}">
  <dimension ref="A1:Q43"/>
  <sheetViews>
    <sheetView tabSelected="1" topLeftCell="A21" workbookViewId="0">
      <selection activeCell="K25" sqref="K25"/>
    </sheetView>
  </sheetViews>
  <sheetFormatPr defaultRowHeight="14.4" x14ac:dyDescent="0.3"/>
  <cols>
    <col min="1" max="1" width="27.109375" bestFit="1" customWidth="1"/>
    <col min="2" max="2" width="13.77734375" bestFit="1" customWidth="1"/>
    <col min="3" max="7" width="7.5546875" bestFit="1" customWidth="1"/>
    <col min="11" max="11" width="35.44140625" bestFit="1" customWidth="1"/>
    <col min="12" max="12" width="14.33203125" bestFit="1" customWidth="1"/>
    <col min="13" max="13" width="12.33203125" bestFit="1" customWidth="1"/>
    <col min="14" max="14" width="9" bestFit="1" customWidth="1"/>
    <col min="15" max="15" width="9.44140625" bestFit="1" customWidth="1"/>
    <col min="16" max="16" width="9" bestFit="1" customWidth="1"/>
    <col min="17" max="17" width="9.44140625" bestFit="1" customWidth="1"/>
  </cols>
  <sheetData>
    <row r="1" spans="1:17" x14ac:dyDescent="0.3">
      <c r="A1" t="s">
        <v>159</v>
      </c>
    </row>
    <row r="2" spans="1:17" x14ac:dyDescent="0.3">
      <c r="A2" s="8" t="s">
        <v>160</v>
      </c>
      <c r="K2" s="114" t="s">
        <v>175</v>
      </c>
      <c r="L2" s="100" t="s">
        <v>176</v>
      </c>
      <c r="M2" s="115">
        <v>0.04</v>
      </c>
      <c r="N2" s="100"/>
      <c r="O2" s="100"/>
      <c r="P2" s="100"/>
      <c r="Q2" s="100"/>
    </row>
    <row r="3" spans="1:17" x14ac:dyDescent="0.3">
      <c r="A3" s="107" t="s">
        <v>161</v>
      </c>
      <c r="B3" s="102" t="s">
        <v>186</v>
      </c>
      <c r="C3" s="102" t="s">
        <v>39</v>
      </c>
      <c r="D3" s="102" t="s">
        <v>40</v>
      </c>
      <c r="E3" s="102" t="s">
        <v>41</v>
      </c>
      <c r="F3" s="102" t="s">
        <v>42</v>
      </c>
      <c r="G3" s="108" t="s">
        <v>43</v>
      </c>
      <c r="K3" s="13" t="s">
        <v>177</v>
      </c>
      <c r="L3" s="13">
        <v>0</v>
      </c>
      <c r="M3" s="13">
        <v>1</v>
      </c>
      <c r="N3" s="13">
        <v>2</v>
      </c>
      <c r="O3" s="13">
        <v>3</v>
      </c>
      <c r="P3" s="13">
        <v>4</v>
      </c>
      <c r="Q3" s="13">
        <v>5</v>
      </c>
    </row>
    <row r="4" spans="1:17" x14ac:dyDescent="0.3">
      <c r="A4" s="99"/>
      <c r="B4" s="109">
        <v>0</v>
      </c>
      <c r="C4" s="109">
        <v>1</v>
      </c>
      <c r="D4" s="109">
        <v>2</v>
      </c>
      <c r="E4" s="109">
        <v>3</v>
      </c>
      <c r="F4" s="109">
        <v>4</v>
      </c>
      <c r="G4" s="110">
        <v>5</v>
      </c>
      <c r="K4" s="13" t="s">
        <v>178</v>
      </c>
      <c r="L4" s="93">
        <f>B16*1/(1+$M$2)^L3</f>
        <v>-112580</v>
      </c>
      <c r="M4" s="93">
        <f t="shared" ref="M4:Q4" si="0">C16*1/(1+$M$2)^M3</f>
        <v>130073.18598524762</v>
      </c>
      <c r="N4" s="93">
        <f t="shared" si="0"/>
        <v>51914.753761213571</v>
      </c>
      <c r="O4" s="93">
        <f t="shared" si="0"/>
        <v>219165.84795645939</v>
      </c>
      <c r="P4" s="93">
        <f t="shared" si="0"/>
        <v>72358.999743064531</v>
      </c>
      <c r="Q4" s="93">
        <f t="shared" si="0"/>
        <v>98647.545939184696</v>
      </c>
    </row>
    <row r="5" spans="1:17" x14ac:dyDescent="0.3">
      <c r="A5" s="99" t="s">
        <v>162</v>
      </c>
      <c r="B5" s="109">
        <v>0</v>
      </c>
      <c r="C5" s="109">
        <f>SUM(C6:C7)</f>
        <v>265440</v>
      </c>
      <c r="D5" s="109">
        <f t="shared" ref="D5:G5" si="1">SUM(D6:D7)</f>
        <v>173040</v>
      </c>
      <c r="E5" s="109">
        <f t="shared" si="1"/>
        <v>427200</v>
      </c>
      <c r="F5" s="109">
        <f t="shared" si="1"/>
        <v>202800</v>
      </c>
      <c r="G5" s="110">
        <f t="shared" si="1"/>
        <v>252040.25597257278</v>
      </c>
      <c r="K5" s="13" t="s">
        <v>179</v>
      </c>
      <c r="L5" s="93">
        <f>L4</f>
        <v>-112580</v>
      </c>
      <c r="M5" s="93">
        <f>L5+M4</f>
        <v>17493.185985247619</v>
      </c>
      <c r="N5" s="93">
        <f>M5+N4</f>
        <v>69407.939746461198</v>
      </c>
      <c r="O5" s="93">
        <f>N5+O4</f>
        <v>288573.78770292061</v>
      </c>
      <c r="P5" s="93">
        <f>O5+P4</f>
        <v>360932.78744598513</v>
      </c>
      <c r="Q5" s="93">
        <f>P5+Q4</f>
        <v>459580.33338516986</v>
      </c>
    </row>
    <row r="6" spans="1:17" x14ac:dyDescent="0.3">
      <c r="A6" s="12" t="s">
        <v>163</v>
      </c>
      <c r="B6" s="93"/>
      <c r="C6" s="93">
        <f>RDG!C3</f>
        <v>265440</v>
      </c>
      <c r="D6" s="93">
        <f>RDG!D3</f>
        <v>173040</v>
      </c>
      <c r="E6" s="93">
        <f>RDG!E3</f>
        <v>427200</v>
      </c>
      <c r="F6" s="93">
        <f>RDG!F3</f>
        <v>202800</v>
      </c>
      <c r="G6" s="95">
        <f>RDG!G3</f>
        <v>244800</v>
      </c>
    </row>
    <row r="7" spans="1:17" x14ac:dyDescent="0.3">
      <c r="A7" s="12" t="s">
        <v>164</v>
      </c>
      <c r="B7" s="93"/>
      <c r="C7" s="93"/>
      <c r="D7" s="93"/>
      <c r="E7" s="93"/>
      <c r="F7" s="93"/>
      <c r="G7" s="95">
        <f>SUM(G8:G9)</f>
        <v>7240.2559725727715</v>
      </c>
      <c r="K7" s="8" t="s">
        <v>180</v>
      </c>
      <c r="L7" s="106">
        <f>P3+(-Q4)/P5</f>
        <v>3.726687213325147</v>
      </c>
    </row>
    <row r="8" spans="1:17" x14ac:dyDescent="0.3">
      <c r="A8" s="12" t="s">
        <v>165</v>
      </c>
      <c r="B8" s="93"/>
      <c r="C8" s="93"/>
      <c r="D8" s="93"/>
      <c r="E8" s="93"/>
      <c r="F8" s="93"/>
      <c r="G8" s="95">
        <f>'INV+AM'!I31</f>
        <v>20625</v>
      </c>
    </row>
    <row r="9" spans="1:17" x14ac:dyDescent="0.3">
      <c r="A9" s="12" t="s">
        <v>166</v>
      </c>
      <c r="B9" s="93"/>
      <c r="C9" s="93"/>
      <c r="D9" s="93"/>
      <c r="E9" s="93"/>
      <c r="F9" s="93"/>
      <c r="G9" s="95">
        <f>TOBS!H30</f>
        <v>-13384.744027427229</v>
      </c>
      <c r="K9" s="8" t="s">
        <v>181</v>
      </c>
      <c r="L9" s="94">
        <f>SUM(M4:Q4)+L4</f>
        <v>459580.33338516986</v>
      </c>
      <c r="M9" s="94">
        <f>NPV(M2,C16:J16)-B11</f>
        <v>459580.33338516974</v>
      </c>
    </row>
    <row r="10" spans="1:17" x14ac:dyDescent="0.3">
      <c r="A10" s="99" t="s">
        <v>167</v>
      </c>
      <c r="B10" s="109">
        <f t="shared" ref="B10:G10" si="2">SUM(B11:B15)</f>
        <v>112580</v>
      </c>
      <c r="C10" s="109">
        <f t="shared" si="2"/>
        <v>130163.88657534248</v>
      </c>
      <c r="D10" s="109">
        <f t="shared" si="2"/>
        <v>116889.00233187139</v>
      </c>
      <c r="E10" s="109">
        <f t="shared" si="2"/>
        <v>180668.22760430526</v>
      </c>
      <c r="F10" s="109">
        <f t="shared" si="2"/>
        <v>118150.20475753814</v>
      </c>
      <c r="G10" s="110">
        <f t="shared" si="2"/>
        <v>132020.43289102634</v>
      </c>
    </row>
    <row r="11" spans="1:17" x14ac:dyDescent="0.3">
      <c r="A11" s="12" t="s">
        <v>168</v>
      </c>
      <c r="B11" s="93">
        <f>'INV+AM'!C8</f>
        <v>112580</v>
      </c>
      <c r="C11" s="93"/>
      <c r="D11" s="93"/>
      <c r="E11" s="93"/>
      <c r="F11" s="93"/>
      <c r="G11" s="95"/>
      <c r="K11" s="8" t="s">
        <v>182</v>
      </c>
      <c r="L11" s="113">
        <f>IRR(B16:G16)</f>
        <v>1.0844058076814598</v>
      </c>
    </row>
    <row r="12" spans="1:17" x14ac:dyDescent="0.3">
      <c r="A12" s="12" t="s">
        <v>169</v>
      </c>
      <c r="B12" s="93">
        <v>0</v>
      </c>
      <c r="C12" s="93">
        <f>TOBS!D30</f>
        <v>-14588.873424657537</v>
      </c>
      <c r="D12" s="93">
        <f>TOBS!E30-TOBS!D30</f>
        <v>78.245525411475683</v>
      </c>
      <c r="E12" s="93">
        <f>TOBS!F30-TOBS!E30</f>
        <v>1373.0649396730769</v>
      </c>
      <c r="F12" s="93">
        <f>TOBS!G30-TOBS!F30</f>
        <v>-426.79370897172157</v>
      </c>
      <c r="G12" s="95">
        <f>TOBS!H30-TOBS!G30</f>
        <v>179.61264111747732</v>
      </c>
    </row>
    <row r="13" spans="1:17" x14ac:dyDescent="0.3">
      <c r="A13" s="12" t="s">
        <v>170</v>
      </c>
      <c r="B13" s="93"/>
      <c r="C13" s="93">
        <f>SUM(RDG!C5,RDG!C6,RDG!C7,RDG!C9,RDG!C10)</f>
        <v>45552</v>
      </c>
      <c r="D13" s="93">
        <f>SUM(RDG!D5,RDG!D6,RDG!D7,RDG!D9,RDG!D10)</f>
        <v>33672</v>
      </c>
      <c r="E13" s="93">
        <f>SUM(RDG!E5,RDG!E6,RDG!E7,RDG!E9,RDG!E10)</f>
        <v>48120</v>
      </c>
      <c r="F13" s="93">
        <f>SUM(RDG!F6,RDG!F5,RDG!F7,RDG!F9,RDG!F10)</f>
        <v>28200</v>
      </c>
      <c r="G13" s="95">
        <f>SUM(RDG!G5,RDG!G6,RDG!G7,RDG!G9,RDG!G10)</f>
        <v>33840</v>
      </c>
      <c r="K13" s="100" t="s">
        <v>183</v>
      </c>
      <c r="L13" s="100"/>
      <c r="M13" s="100" t="s">
        <v>176</v>
      </c>
      <c r="N13" s="115">
        <f>L11</f>
        <v>1.0844058076814598</v>
      </c>
      <c r="O13" s="100"/>
      <c r="P13" s="100"/>
      <c r="Q13" s="100"/>
    </row>
    <row r="14" spans="1:17" x14ac:dyDescent="0.3">
      <c r="A14" s="12" t="s">
        <v>171</v>
      </c>
      <c r="B14" s="93"/>
      <c r="C14" s="93">
        <f>RDG!C8</f>
        <v>73440</v>
      </c>
      <c r="D14" s="93">
        <f>RDG!D8</f>
        <v>73440</v>
      </c>
      <c r="E14" s="93">
        <f>RDG!E8</f>
        <v>73440</v>
      </c>
      <c r="F14" s="93">
        <f>RDG!F8</f>
        <v>73440</v>
      </c>
      <c r="G14" s="95">
        <f>RDG!G8</f>
        <v>73440</v>
      </c>
      <c r="K14" s="13" t="s">
        <v>177</v>
      </c>
      <c r="L14" s="13">
        <v>0</v>
      </c>
      <c r="M14" s="13">
        <v>1</v>
      </c>
      <c r="N14" s="13">
        <v>2</v>
      </c>
      <c r="O14" s="13">
        <v>3</v>
      </c>
      <c r="P14" s="13">
        <v>4</v>
      </c>
      <c r="Q14" s="13">
        <v>5</v>
      </c>
    </row>
    <row r="15" spans="1:17" x14ac:dyDescent="0.3">
      <c r="A15" s="12" t="s">
        <v>151</v>
      </c>
      <c r="B15" s="93"/>
      <c r="C15" s="93">
        <f>RDG!C15</f>
        <v>25760.760000000002</v>
      </c>
      <c r="D15" s="93">
        <f>RDG!D15</f>
        <v>9698.7568064599145</v>
      </c>
      <c r="E15" s="93">
        <f>RDG!E15</f>
        <v>57735.162664632175</v>
      </c>
      <c r="F15" s="93">
        <f>RDG!F15</f>
        <v>16936.998466509871</v>
      </c>
      <c r="G15" s="95">
        <f>RDG!G15</f>
        <v>24560.820249908858</v>
      </c>
      <c r="K15" s="13" t="s">
        <v>178</v>
      </c>
      <c r="L15" s="13">
        <f>B16*1/(1+$N$13)^L14</f>
        <v>-112580</v>
      </c>
      <c r="M15" s="93">
        <f t="shared" ref="M15:Q15" si="3">C16*1/(1+$N$13)^M14</f>
        <v>64899.125173292792</v>
      </c>
      <c r="N15" s="93">
        <f t="shared" si="3"/>
        <v>12923.88032890055</v>
      </c>
      <c r="O15" s="93">
        <f t="shared" si="3"/>
        <v>27222.378890361051</v>
      </c>
      <c r="P15" s="93">
        <f t="shared" si="3"/>
        <v>4484.3222464173705</v>
      </c>
      <c r="Q15" s="93">
        <f t="shared" si="3"/>
        <v>3050.2933610282571</v>
      </c>
    </row>
    <row r="16" spans="1:17" x14ac:dyDescent="0.3">
      <c r="A16" s="99" t="s">
        <v>172</v>
      </c>
      <c r="B16" s="109">
        <f>B5-B10</f>
        <v>-112580</v>
      </c>
      <c r="C16" s="109">
        <f>C5-C10</f>
        <v>135276.11342465752</v>
      </c>
      <c r="D16" s="109">
        <f t="shared" ref="D16:F16" si="4">D5-D10</f>
        <v>56150.997668128606</v>
      </c>
      <c r="E16" s="109">
        <f t="shared" si="4"/>
        <v>246531.77239569474</v>
      </c>
      <c r="F16" s="109">
        <f t="shared" si="4"/>
        <v>84649.795242461856</v>
      </c>
      <c r="G16" s="110">
        <f>G5-G10</f>
        <v>120019.82308154643</v>
      </c>
      <c r="K16" s="13" t="s">
        <v>179</v>
      </c>
      <c r="L16" s="13">
        <f>L15</f>
        <v>-112580</v>
      </c>
      <c r="M16" s="93">
        <f>L16+M15</f>
        <v>-47680.874826707208</v>
      </c>
      <c r="N16" s="93">
        <f t="shared" ref="N16:Q16" si="5">M16+N15</f>
        <v>-34756.994497806656</v>
      </c>
      <c r="O16" s="93">
        <f t="shared" si="5"/>
        <v>-7534.6156074456048</v>
      </c>
      <c r="P16" s="93">
        <f t="shared" si="5"/>
        <v>-3050.2933610282344</v>
      </c>
      <c r="Q16" s="93">
        <f t="shared" si="5"/>
        <v>2.2737367544323206E-11</v>
      </c>
    </row>
    <row r="17" spans="1:12" x14ac:dyDescent="0.3">
      <c r="A17" s="15" t="s">
        <v>173</v>
      </c>
      <c r="B17" s="111">
        <f>B16</f>
        <v>-112580</v>
      </c>
      <c r="C17" s="111">
        <f>B17+C16</f>
        <v>22696.113424657524</v>
      </c>
      <c r="D17" s="111">
        <f>C17+D16</f>
        <v>78847.11109278613</v>
      </c>
      <c r="E17" s="111">
        <f>D17+E16</f>
        <v>325378.88348848087</v>
      </c>
      <c r="F17" s="111">
        <f>E17+F16</f>
        <v>410028.67873094272</v>
      </c>
      <c r="G17" s="112">
        <f>F17+G16</f>
        <v>530048.50181248912</v>
      </c>
    </row>
    <row r="18" spans="1:12" x14ac:dyDescent="0.3">
      <c r="K18" s="8" t="s">
        <v>184</v>
      </c>
      <c r="L18" s="105">
        <f>L19/L20</f>
        <v>5.708194189132076</v>
      </c>
    </row>
    <row r="19" spans="1:12" x14ac:dyDescent="0.3">
      <c r="A19" s="8" t="s">
        <v>174</v>
      </c>
      <c r="B19" s="106">
        <f>F4+(-G16)/F17</f>
        <v>3.7072891987628447</v>
      </c>
      <c r="K19" s="8" t="s">
        <v>185</v>
      </c>
      <c r="L19" s="94">
        <f>SUM(C16:G16)</f>
        <v>642628.50181248912</v>
      </c>
    </row>
    <row r="20" spans="1:12" x14ac:dyDescent="0.3">
      <c r="K20" s="8" t="s">
        <v>102</v>
      </c>
      <c r="L20" s="94">
        <f>B11</f>
        <v>112580</v>
      </c>
    </row>
    <row r="23" spans="1:12" x14ac:dyDescent="0.3">
      <c r="A23" t="s">
        <v>187</v>
      </c>
    </row>
    <row r="24" spans="1:12" x14ac:dyDescent="0.3">
      <c r="A24" s="116" t="s">
        <v>188</v>
      </c>
    </row>
    <row r="25" spans="1:12" x14ac:dyDescent="0.3">
      <c r="A25" s="130" t="s">
        <v>161</v>
      </c>
      <c r="B25" s="131" t="s">
        <v>186</v>
      </c>
      <c r="C25" s="131" t="s">
        <v>39</v>
      </c>
      <c r="D25" s="131" t="s">
        <v>40</v>
      </c>
      <c r="E25" s="131" t="s">
        <v>41</v>
      </c>
      <c r="F25" s="131" t="s">
        <v>42</v>
      </c>
      <c r="G25" s="132" t="s">
        <v>43</v>
      </c>
    </row>
    <row r="26" spans="1:12" x14ac:dyDescent="0.3">
      <c r="A26" s="122"/>
      <c r="B26" s="117">
        <v>0</v>
      </c>
      <c r="C26" s="117">
        <v>1</v>
      </c>
      <c r="D26" s="117">
        <v>2</v>
      </c>
      <c r="E26" s="117">
        <v>3</v>
      </c>
      <c r="F26" s="117">
        <v>4</v>
      </c>
      <c r="G26" s="125">
        <v>5</v>
      </c>
    </row>
    <row r="27" spans="1:12" x14ac:dyDescent="0.3">
      <c r="A27" s="123" t="s">
        <v>162</v>
      </c>
      <c r="B27" s="118">
        <f>SUM(B28:B29,B32)</f>
        <v>175160</v>
      </c>
      <c r="C27" s="118">
        <f t="shared" ref="C27:G27" si="6">SUM(C28:C29,C32)</f>
        <v>265440</v>
      </c>
      <c r="D27" s="118">
        <f t="shared" si="6"/>
        <v>173040</v>
      </c>
      <c r="E27" s="118">
        <f t="shared" si="6"/>
        <v>427200</v>
      </c>
      <c r="F27" s="118">
        <f t="shared" si="6"/>
        <v>202800</v>
      </c>
      <c r="G27" s="126">
        <f t="shared" si="6"/>
        <v>252040.25597257278</v>
      </c>
    </row>
    <row r="28" spans="1:12" x14ac:dyDescent="0.3">
      <c r="A28" s="12" t="s">
        <v>189</v>
      </c>
      <c r="B28" s="13">
        <v>0</v>
      </c>
      <c r="C28" s="119">
        <f>C6</f>
        <v>265440</v>
      </c>
      <c r="D28" s="119">
        <f>D6</f>
        <v>173040</v>
      </c>
      <c r="E28" s="119">
        <f>E6</f>
        <v>427200</v>
      </c>
      <c r="F28" s="119">
        <f>F6</f>
        <v>202800</v>
      </c>
      <c r="G28" s="127">
        <f>G6</f>
        <v>244800</v>
      </c>
    </row>
    <row r="29" spans="1:12" x14ac:dyDescent="0.3">
      <c r="A29" s="12" t="s">
        <v>190</v>
      </c>
      <c r="B29" s="93">
        <f>SUM(B30:B31)</f>
        <v>175160</v>
      </c>
      <c r="C29" s="13"/>
      <c r="D29" s="13"/>
      <c r="E29" s="13"/>
      <c r="F29" s="13"/>
      <c r="G29" s="14"/>
    </row>
    <row r="30" spans="1:12" x14ac:dyDescent="0.3">
      <c r="A30" s="12" t="s">
        <v>191</v>
      </c>
      <c r="B30" s="119">
        <f>'INV+AM'!C8</f>
        <v>112580</v>
      </c>
      <c r="C30" s="13"/>
      <c r="D30" s="13"/>
      <c r="E30" s="13"/>
      <c r="F30" s="13"/>
      <c r="G30" s="14"/>
    </row>
    <row r="31" spans="1:12" x14ac:dyDescent="0.3">
      <c r="A31" s="12" t="s">
        <v>192</v>
      </c>
      <c r="B31" s="93">
        <f>KREDIT!C3</f>
        <v>62580</v>
      </c>
      <c r="C31" s="13"/>
      <c r="D31" s="13"/>
      <c r="E31" s="13"/>
      <c r="F31" s="13"/>
      <c r="G31" s="14"/>
    </row>
    <row r="32" spans="1:12" x14ac:dyDescent="0.3">
      <c r="A32" s="12" t="s">
        <v>193</v>
      </c>
      <c r="B32" s="13"/>
      <c r="C32" s="13"/>
      <c r="D32" s="13"/>
      <c r="E32" s="13"/>
      <c r="F32" s="13"/>
      <c r="G32" s="127">
        <f>G7</f>
        <v>7240.2559725727715</v>
      </c>
    </row>
    <row r="33" spans="1:7" x14ac:dyDescent="0.3">
      <c r="A33" s="12" t="s">
        <v>194</v>
      </c>
      <c r="B33" s="13"/>
      <c r="C33" s="13"/>
      <c r="D33" s="13"/>
      <c r="E33" s="13"/>
      <c r="F33" s="13"/>
      <c r="G33" s="127">
        <f>G8</f>
        <v>20625</v>
      </c>
    </row>
    <row r="34" spans="1:7" x14ac:dyDescent="0.3">
      <c r="A34" s="12" t="s">
        <v>195</v>
      </c>
      <c r="B34" s="13"/>
      <c r="C34" s="13"/>
      <c r="D34" s="13"/>
      <c r="E34" s="13"/>
      <c r="F34" s="13"/>
      <c r="G34" s="127">
        <f>G9</f>
        <v>-13384.744027427229</v>
      </c>
    </row>
    <row r="35" spans="1:7" x14ac:dyDescent="0.3">
      <c r="A35" s="123" t="s">
        <v>167</v>
      </c>
      <c r="B35" s="120">
        <f>SUM(B36:B37)</f>
        <v>112580</v>
      </c>
      <c r="C35" s="120">
        <f>SUM(C37:C41)</f>
        <v>132667.08657534249</v>
      </c>
      <c r="D35" s="120">
        <f t="shared" ref="D35:G35" si="7">SUM(D37:D41)</f>
        <v>130719.07373449422</v>
      </c>
      <c r="E35" s="120">
        <f t="shared" si="7"/>
        <v>194498.29900692808</v>
      </c>
      <c r="F35" s="120">
        <f t="shared" si="7"/>
        <v>131980.27616016095</v>
      </c>
      <c r="G35" s="128">
        <f t="shared" si="7"/>
        <v>145850.50429364917</v>
      </c>
    </row>
    <row r="36" spans="1:7" x14ac:dyDescent="0.3">
      <c r="A36" s="12" t="s">
        <v>196</v>
      </c>
      <c r="B36" s="119">
        <f>B11</f>
        <v>112580</v>
      </c>
      <c r="C36" s="13"/>
      <c r="D36" s="13"/>
      <c r="E36" s="13"/>
      <c r="F36" s="13"/>
      <c r="G36" s="14"/>
    </row>
    <row r="37" spans="1:7" x14ac:dyDescent="0.3">
      <c r="A37" s="12" t="s">
        <v>197</v>
      </c>
      <c r="B37" s="13">
        <v>0</v>
      </c>
      <c r="C37" s="119">
        <f t="shared" ref="C37:G40" si="8">C12</f>
        <v>-14588.873424657537</v>
      </c>
      <c r="D37" s="119">
        <f t="shared" si="8"/>
        <v>78.245525411475683</v>
      </c>
      <c r="E37" s="119">
        <f t="shared" si="8"/>
        <v>1373.0649396730769</v>
      </c>
      <c r="F37" s="119">
        <f t="shared" si="8"/>
        <v>-426.79370897172157</v>
      </c>
      <c r="G37" s="127">
        <f t="shared" si="8"/>
        <v>179.61264111747732</v>
      </c>
    </row>
    <row r="38" spans="1:7" x14ac:dyDescent="0.3">
      <c r="A38" s="12" t="s">
        <v>198</v>
      </c>
      <c r="B38" s="13"/>
      <c r="C38" s="119">
        <f t="shared" si="8"/>
        <v>45552</v>
      </c>
      <c r="D38" s="119">
        <f t="shared" si="8"/>
        <v>33672</v>
      </c>
      <c r="E38" s="119">
        <f t="shared" si="8"/>
        <v>48120</v>
      </c>
      <c r="F38" s="119">
        <f t="shared" si="8"/>
        <v>28200</v>
      </c>
      <c r="G38" s="127">
        <f t="shared" si="8"/>
        <v>33840</v>
      </c>
    </row>
    <row r="39" spans="1:7" x14ac:dyDescent="0.3">
      <c r="A39" s="12" t="s">
        <v>199</v>
      </c>
      <c r="B39" s="13"/>
      <c r="C39" s="119">
        <f t="shared" si="8"/>
        <v>73440</v>
      </c>
      <c r="D39" s="119">
        <f t="shared" si="8"/>
        <v>73440</v>
      </c>
      <c r="E39" s="119">
        <f t="shared" si="8"/>
        <v>73440</v>
      </c>
      <c r="F39" s="119">
        <f t="shared" si="8"/>
        <v>73440</v>
      </c>
      <c r="G39" s="127">
        <f t="shared" si="8"/>
        <v>73440</v>
      </c>
    </row>
    <row r="40" spans="1:7" x14ac:dyDescent="0.3">
      <c r="A40" s="12" t="s">
        <v>200</v>
      </c>
      <c r="B40" s="13"/>
      <c r="C40" s="119">
        <f t="shared" si="8"/>
        <v>25760.760000000002</v>
      </c>
      <c r="D40" s="119">
        <f t="shared" si="8"/>
        <v>9698.7568064599145</v>
      </c>
      <c r="E40" s="119">
        <f t="shared" si="8"/>
        <v>57735.162664632175</v>
      </c>
      <c r="F40" s="119">
        <f t="shared" si="8"/>
        <v>16936.998466509871</v>
      </c>
      <c r="G40" s="127">
        <f t="shared" si="8"/>
        <v>24560.820249908858</v>
      </c>
    </row>
    <row r="41" spans="1:7" x14ac:dyDescent="0.3">
      <c r="A41" s="12" t="s">
        <v>201</v>
      </c>
      <c r="B41" s="13"/>
      <c r="C41" s="119">
        <f>KREDIT!G6</f>
        <v>2503.2000000000003</v>
      </c>
      <c r="D41" s="119">
        <f>KREDIT!H6</f>
        <v>13830.07140262282</v>
      </c>
      <c r="E41" s="119">
        <f>KREDIT!I6</f>
        <v>13830.07140262282</v>
      </c>
      <c r="F41" s="119">
        <f>KREDIT!J6</f>
        <v>13830.07140262282</v>
      </c>
      <c r="G41" s="127">
        <f>KREDIT!K6</f>
        <v>13830.07140262282</v>
      </c>
    </row>
    <row r="42" spans="1:7" x14ac:dyDescent="0.3">
      <c r="A42" s="124" t="s">
        <v>172</v>
      </c>
      <c r="B42" s="121">
        <f>B27-B35</f>
        <v>62580</v>
      </c>
      <c r="C42" s="121">
        <f>C27-C35</f>
        <v>132772.91342465751</v>
      </c>
      <c r="D42" s="121">
        <f t="shared" ref="D42:G42" si="9">D27-D35</f>
        <v>42320.926265505783</v>
      </c>
      <c r="E42" s="121">
        <f t="shared" si="9"/>
        <v>232701.70099307192</v>
      </c>
      <c r="F42" s="121">
        <f t="shared" si="9"/>
        <v>70819.723839839047</v>
      </c>
      <c r="G42" s="129">
        <f t="shared" si="9"/>
        <v>106189.75167892361</v>
      </c>
    </row>
    <row r="43" spans="1:7" x14ac:dyDescent="0.3">
      <c r="A43" s="133" t="s">
        <v>202</v>
      </c>
      <c r="B43" s="134">
        <f>B42</f>
        <v>62580</v>
      </c>
      <c r="C43" s="134">
        <f>B43+C42</f>
        <v>195352.91342465751</v>
      </c>
      <c r="D43" s="134">
        <f t="shared" ref="D43:G43" si="10">C43+D42</f>
        <v>237673.8396901633</v>
      </c>
      <c r="E43" s="134">
        <f t="shared" si="10"/>
        <v>470375.54068323522</v>
      </c>
      <c r="F43" s="134">
        <f t="shared" si="10"/>
        <v>541195.26452307426</v>
      </c>
      <c r="G43" s="135">
        <f t="shared" si="10"/>
        <v>647385.01620199787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25D239-0384-40DE-9730-58EB9C8AE0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8</vt:i4>
      </vt:variant>
    </vt:vector>
  </HeadingPairs>
  <TitlesOfParts>
    <vt:vector size="8" baseType="lpstr">
      <vt:lpstr>INV</vt:lpstr>
      <vt:lpstr>INV+AM</vt:lpstr>
      <vt:lpstr>PRIHODI</vt:lpstr>
      <vt:lpstr>RASHODI</vt:lpstr>
      <vt:lpstr>KREDIT</vt:lpstr>
      <vt:lpstr>RDG</vt:lpstr>
      <vt:lpstr>TOBS</vt:lpstr>
      <vt:lpstr>ET I 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patrikcrncic7@gmail.com</dc:creator>
  <cp:lastModifiedBy>patrikcrncic7@gmail.com</cp:lastModifiedBy>
  <dcterms:created xsi:type="dcterms:W3CDTF">2025-01-22T16:43:28Z</dcterms:created>
  <dcterms:modified xsi:type="dcterms:W3CDTF">2025-01-23T21:29:59Z</dcterms:modified>
</cp:coreProperties>
</file>