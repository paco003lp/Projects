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Patrik\Desktop\FAX\"/>
    </mc:Choice>
  </mc:AlternateContent>
  <xr:revisionPtr revIDLastSave="0" documentId="8_{0BBD40AC-6FAB-4208-9548-46E1D903C8CC}" xr6:coauthVersionLast="47" xr6:coauthVersionMax="47" xr10:uidLastSave="{00000000-0000-0000-0000-000000000000}"/>
  <bookViews>
    <workbookView xWindow="-108" yWindow="-108" windowWidth="23256" windowHeight="12456" activeTab="4" xr2:uid="{B3AE5EF4-5C7C-4903-A1AB-B8877D76B5DF}"/>
  </bookViews>
  <sheets>
    <sheet name="Štednja" sheetId="1" r:id="rId1"/>
    <sheet name="Kredit Erste" sheetId="2" r:id="rId2"/>
    <sheet name="Kredit Addiko" sheetId="3" r:id="rId3"/>
    <sheet name="Kredit ZABA" sheetId="4" r:id="rId4"/>
    <sheet name="Amortizacija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2" l="1"/>
  <c r="B2" i="4"/>
  <c r="J1" i="4"/>
  <c r="F5" i="4" s="1"/>
  <c r="E5" i="4" s="1"/>
  <c r="H5" i="4" s="1"/>
  <c r="B2" i="3"/>
  <c r="J1" i="3"/>
  <c r="F5" i="3" s="1"/>
  <c r="E5" i="3" s="1"/>
  <c r="H5" i="3" s="1"/>
  <c r="J1" i="2"/>
  <c r="B2" i="2" s="1"/>
  <c r="G44" i="1"/>
  <c r="C46" i="1" s="1"/>
  <c r="C37" i="1"/>
  <c r="E7" i="1" s="1"/>
  <c r="C29" i="1"/>
  <c r="D9" i="2" l="1"/>
  <c r="D13" i="2"/>
  <c r="D17" i="2"/>
  <c r="D21" i="2"/>
  <c r="D25" i="2"/>
  <c r="D29" i="2"/>
  <c r="D33" i="2"/>
  <c r="D37" i="2"/>
  <c r="D6" i="2"/>
  <c r="D10" i="2"/>
  <c r="D14" i="2"/>
  <c r="D18" i="2"/>
  <c r="D22" i="2"/>
  <c r="D26" i="2"/>
  <c r="D30" i="2"/>
  <c r="D34" i="2"/>
  <c r="D38" i="2"/>
  <c r="D7" i="2"/>
  <c r="D11" i="2"/>
  <c r="D15" i="2"/>
  <c r="D19" i="2"/>
  <c r="D23" i="2"/>
  <c r="D27" i="2"/>
  <c r="D31" i="2"/>
  <c r="D35" i="2"/>
  <c r="D39" i="2"/>
  <c r="D8" i="2"/>
  <c r="D12" i="2"/>
  <c r="D16" i="2"/>
  <c r="D20" i="2"/>
  <c r="D24" i="2"/>
  <c r="D28" i="2"/>
  <c r="D32" i="2"/>
  <c r="D36" i="2"/>
  <c r="D5" i="2"/>
  <c r="F5" i="2"/>
  <c r="F6" i="4"/>
  <c r="E6" i="4" s="1"/>
  <c r="H6" i="4" s="1"/>
  <c r="F6" i="3"/>
  <c r="E6" i="3" s="1"/>
  <c r="H6" i="3" s="1"/>
  <c r="E22" i="1"/>
  <c r="E15" i="1"/>
  <c r="E9" i="1"/>
  <c r="E25" i="1"/>
  <c r="E17" i="1"/>
  <c r="E10" i="1"/>
  <c r="E8" i="1"/>
  <c r="E27" i="1"/>
  <c r="E28" i="1" s="1"/>
  <c r="E29" i="1" s="1"/>
  <c r="E30" i="1" s="1"/>
  <c r="E21" i="1"/>
  <c r="E14" i="1"/>
  <c r="E6" i="1"/>
  <c r="E26" i="1"/>
  <c r="E19" i="1"/>
  <c r="E11" i="1"/>
  <c r="E5" i="1"/>
  <c r="E23" i="1"/>
  <c r="E18" i="1"/>
  <c r="E13" i="1"/>
  <c r="E4" i="1"/>
  <c r="E24" i="1"/>
  <c r="E20" i="1"/>
  <c r="E16" i="1"/>
  <c r="E12" i="1"/>
  <c r="E5" i="2" l="1"/>
  <c r="H5" i="2" s="1"/>
  <c r="F6" i="2" s="1"/>
  <c r="E6" i="2" s="1"/>
  <c r="F7" i="4"/>
  <c r="E7" i="4" s="1"/>
  <c r="H7" i="4" s="1"/>
  <c r="F7" i="3"/>
  <c r="E7" i="3" s="1"/>
  <c r="H7" i="3" s="1"/>
  <c r="H6" i="2" l="1"/>
  <c r="F7" i="2" s="1"/>
  <c r="E7" i="2" s="1"/>
  <c r="H7" i="2" s="1"/>
  <c r="F8" i="2" s="1"/>
  <c r="F8" i="4"/>
  <c r="E8" i="4" s="1"/>
  <c r="H8" i="4" s="1"/>
  <c r="F8" i="3"/>
  <c r="E8" i="3" s="1"/>
  <c r="H8" i="3" s="1"/>
  <c r="F9" i="4" l="1"/>
  <c r="E9" i="4" s="1"/>
  <c r="H9" i="4" s="1"/>
  <c r="E8" i="2"/>
  <c r="H8" i="2" s="1"/>
  <c r="F9" i="2" s="1"/>
  <c r="F9" i="3"/>
  <c r="E9" i="3" s="1"/>
  <c r="H9" i="3" s="1"/>
  <c r="F10" i="4" l="1"/>
  <c r="E10" i="4" s="1"/>
  <c r="H10" i="4"/>
  <c r="E9" i="2"/>
  <c r="H9" i="2" s="1"/>
  <c r="F10" i="2" s="1"/>
  <c r="F10" i="3"/>
  <c r="E10" i="3" s="1"/>
  <c r="H10" i="3" s="1"/>
  <c r="F11" i="4" l="1"/>
  <c r="E11" i="4" s="1"/>
  <c r="H11" i="4"/>
  <c r="E10" i="2"/>
  <c r="H10" i="2" s="1"/>
  <c r="F11" i="3"/>
  <c r="E11" i="3" s="1"/>
  <c r="H11" i="3" s="1"/>
  <c r="F12" i="4" l="1"/>
  <c r="E12" i="4" s="1"/>
  <c r="H12" i="4"/>
  <c r="F11" i="2"/>
  <c r="E11" i="2" s="1"/>
  <c r="H11" i="2" s="1"/>
  <c r="F12" i="3"/>
  <c r="E12" i="3" s="1"/>
  <c r="H12" i="3" s="1"/>
  <c r="F13" i="4" l="1"/>
  <c r="E13" i="4" s="1"/>
  <c r="H13" i="4" s="1"/>
  <c r="F12" i="2"/>
  <c r="E12" i="2" s="1"/>
  <c r="H12" i="2" s="1"/>
  <c r="F13" i="3"/>
  <c r="E13" i="3" s="1"/>
  <c r="H13" i="3" s="1"/>
  <c r="F14" i="4" l="1"/>
  <c r="E14" i="4" s="1"/>
  <c r="H14" i="4" s="1"/>
  <c r="F13" i="2"/>
  <c r="E13" i="2" s="1"/>
  <c r="H13" i="2" s="1"/>
  <c r="F14" i="3"/>
  <c r="E14" i="3" s="1"/>
  <c r="H14" i="3" s="1"/>
  <c r="F15" i="4" l="1"/>
  <c r="E15" i="4" s="1"/>
  <c r="H15" i="4" s="1"/>
  <c r="F14" i="2"/>
  <c r="E14" i="2" s="1"/>
  <c r="H14" i="2" s="1"/>
  <c r="F15" i="3"/>
  <c r="E15" i="3" s="1"/>
  <c r="H15" i="3" s="1"/>
  <c r="F16" i="4" l="1"/>
  <c r="E16" i="4" s="1"/>
  <c r="H16" i="4"/>
  <c r="F15" i="2"/>
  <c r="E15" i="2" s="1"/>
  <c r="H15" i="2" s="1"/>
  <c r="F16" i="3"/>
  <c r="E16" i="3" s="1"/>
  <c r="H16" i="3" s="1"/>
  <c r="F17" i="4" l="1"/>
  <c r="E17" i="4" s="1"/>
  <c r="H17" i="4" s="1"/>
  <c r="F16" i="2"/>
  <c r="E16" i="2" s="1"/>
  <c r="H16" i="2" s="1"/>
  <c r="F17" i="3"/>
  <c r="E17" i="3" s="1"/>
  <c r="H17" i="3" s="1"/>
  <c r="F18" i="4" l="1"/>
  <c r="E18" i="4" s="1"/>
  <c r="H18" i="4"/>
  <c r="F17" i="2"/>
  <c r="E17" i="2" s="1"/>
  <c r="H17" i="2" s="1"/>
  <c r="F18" i="3"/>
  <c r="E18" i="3" s="1"/>
  <c r="H18" i="3" s="1"/>
  <c r="F19" i="4" l="1"/>
  <c r="E19" i="4" s="1"/>
  <c r="H19" i="4" s="1"/>
  <c r="F18" i="2"/>
  <c r="E18" i="2" s="1"/>
  <c r="H18" i="2" s="1"/>
  <c r="F19" i="3"/>
  <c r="E19" i="3" s="1"/>
  <c r="H19" i="3" s="1"/>
  <c r="F20" i="4" l="1"/>
  <c r="E20" i="4" s="1"/>
  <c r="H20" i="4"/>
  <c r="F19" i="2"/>
  <c r="E19" i="2" s="1"/>
  <c r="H19" i="2" s="1"/>
  <c r="F20" i="3"/>
  <c r="E20" i="3" s="1"/>
  <c r="H20" i="3" s="1"/>
  <c r="F21" i="4" l="1"/>
  <c r="E21" i="4" s="1"/>
  <c r="H21" i="4" s="1"/>
  <c r="F20" i="2"/>
  <c r="E20" i="2" s="1"/>
  <c r="H20" i="2" s="1"/>
  <c r="F21" i="3"/>
  <c r="E21" i="3" s="1"/>
  <c r="H21" i="3" s="1"/>
  <c r="F22" i="4" l="1"/>
  <c r="E22" i="4" s="1"/>
  <c r="H22" i="4" s="1"/>
  <c r="F21" i="2"/>
  <c r="E21" i="2" s="1"/>
  <c r="H21" i="2" s="1"/>
  <c r="F22" i="3"/>
  <c r="E22" i="3" s="1"/>
  <c r="H22" i="3" s="1"/>
  <c r="F23" i="4" l="1"/>
  <c r="E23" i="4" s="1"/>
  <c r="H23" i="4" s="1"/>
  <c r="F22" i="2"/>
  <c r="E22" i="2" s="1"/>
  <c r="H22" i="2" s="1"/>
  <c r="F23" i="3"/>
  <c r="E23" i="3" s="1"/>
  <c r="H23" i="3" s="1"/>
  <c r="F24" i="4" l="1"/>
  <c r="E24" i="4" s="1"/>
  <c r="H24" i="4"/>
  <c r="F23" i="2"/>
  <c r="E23" i="2" s="1"/>
  <c r="H23" i="2" s="1"/>
  <c r="F24" i="3"/>
  <c r="E24" i="3" s="1"/>
  <c r="H24" i="3" s="1"/>
  <c r="F25" i="4" l="1"/>
  <c r="E25" i="4" s="1"/>
  <c r="H25" i="4" s="1"/>
  <c r="F24" i="2"/>
  <c r="E24" i="2" s="1"/>
  <c r="H24" i="2" s="1"/>
  <c r="F25" i="3"/>
  <c r="E25" i="3" s="1"/>
  <c r="H25" i="3" s="1"/>
  <c r="F26" i="4" l="1"/>
  <c r="E26" i="4" s="1"/>
  <c r="H26" i="4" s="1"/>
  <c r="F25" i="2"/>
  <c r="E25" i="2" s="1"/>
  <c r="H25" i="2" s="1"/>
  <c r="F26" i="3"/>
  <c r="E26" i="3" s="1"/>
  <c r="H26" i="3" s="1"/>
  <c r="F27" i="4" l="1"/>
  <c r="E27" i="4" s="1"/>
  <c r="H27" i="4" s="1"/>
  <c r="F26" i="2"/>
  <c r="E26" i="2" s="1"/>
  <c r="H26" i="2" s="1"/>
  <c r="F27" i="3"/>
  <c r="E27" i="3" s="1"/>
  <c r="H27" i="3" s="1"/>
  <c r="F28" i="4" l="1"/>
  <c r="E28" i="4" s="1"/>
  <c r="H28" i="4"/>
  <c r="F27" i="2"/>
  <c r="E27" i="2" s="1"/>
  <c r="H27" i="2" s="1"/>
  <c r="F28" i="3"/>
  <c r="E28" i="3" s="1"/>
  <c r="H28" i="3" s="1"/>
  <c r="F29" i="4" l="1"/>
  <c r="E29" i="4" s="1"/>
  <c r="H29" i="4" s="1"/>
  <c r="F28" i="2"/>
  <c r="E28" i="2" s="1"/>
  <c r="H28" i="2" s="1"/>
  <c r="F29" i="3"/>
  <c r="E29" i="3" s="1"/>
  <c r="H29" i="3" s="1"/>
  <c r="F30" i="4" l="1"/>
  <c r="E30" i="4" s="1"/>
  <c r="H30" i="4"/>
  <c r="F29" i="2"/>
  <c r="E29" i="2" s="1"/>
  <c r="H29" i="2" s="1"/>
  <c r="F30" i="3"/>
  <c r="E30" i="3" s="1"/>
  <c r="H30" i="3" s="1"/>
  <c r="F31" i="4" l="1"/>
  <c r="E31" i="4" s="1"/>
  <c r="H31" i="4" s="1"/>
  <c r="F30" i="2"/>
  <c r="E30" i="2" s="1"/>
  <c r="H30" i="2" s="1"/>
  <c r="F31" i="3"/>
  <c r="E31" i="3" s="1"/>
  <c r="H31" i="3" s="1"/>
  <c r="F32" i="4" l="1"/>
  <c r="E32" i="4" s="1"/>
  <c r="H32" i="4"/>
  <c r="F31" i="2"/>
  <c r="E31" i="2" s="1"/>
  <c r="H31" i="2" s="1"/>
  <c r="F32" i="3"/>
  <c r="E32" i="3" s="1"/>
  <c r="H32" i="3"/>
  <c r="F33" i="4" l="1"/>
  <c r="E33" i="4" s="1"/>
  <c r="H33" i="4" s="1"/>
  <c r="F32" i="2"/>
  <c r="E32" i="2" s="1"/>
  <c r="H32" i="2" s="1"/>
  <c r="F33" i="3"/>
  <c r="E33" i="3" s="1"/>
  <c r="H33" i="3" s="1"/>
  <c r="F34" i="4" l="1"/>
  <c r="E34" i="4" s="1"/>
  <c r="H34" i="4" s="1"/>
  <c r="F33" i="2"/>
  <c r="E33" i="2" s="1"/>
  <c r="H33" i="2" s="1"/>
  <c r="F34" i="3"/>
  <c r="E34" i="3" s="1"/>
  <c r="H34" i="3" s="1"/>
  <c r="F35" i="4" l="1"/>
  <c r="E35" i="4" s="1"/>
  <c r="H35" i="4" s="1"/>
  <c r="F34" i="2"/>
  <c r="E34" i="2" s="1"/>
  <c r="H34" i="2" s="1"/>
  <c r="F35" i="3"/>
  <c r="E35" i="3" s="1"/>
  <c r="H35" i="3" s="1"/>
  <c r="F36" i="4" l="1"/>
  <c r="E36" i="4" s="1"/>
  <c r="H36" i="4" s="1"/>
  <c r="F35" i="2"/>
  <c r="E35" i="2" s="1"/>
  <c r="H35" i="2" s="1"/>
  <c r="F36" i="3"/>
  <c r="E36" i="3" s="1"/>
  <c r="H36" i="3" s="1"/>
  <c r="F37" i="4" l="1"/>
  <c r="E37" i="4" s="1"/>
  <c r="H37" i="4" s="1"/>
  <c r="F36" i="2"/>
  <c r="E36" i="2" s="1"/>
  <c r="H36" i="2" s="1"/>
  <c r="F37" i="3"/>
  <c r="E37" i="3" s="1"/>
  <c r="H37" i="3" s="1"/>
  <c r="F38" i="4" l="1"/>
  <c r="E38" i="4" s="1"/>
  <c r="H38" i="4" s="1"/>
  <c r="F37" i="2"/>
  <c r="E37" i="2" s="1"/>
  <c r="H37" i="2" s="1"/>
  <c r="F38" i="3"/>
  <c r="E38" i="3" s="1"/>
  <c r="H38" i="3" s="1"/>
  <c r="F39" i="4" l="1"/>
  <c r="E39" i="4" s="1"/>
  <c r="H39" i="4" s="1"/>
  <c r="F40" i="4" s="1"/>
  <c r="E40" i="4" s="1"/>
  <c r="F38" i="2"/>
  <c r="E38" i="2" s="1"/>
  <c r="H38" i="2" s="1"/>
  <c r="F39" i="3"/>
  <c r="E39" i="3" s="1"/>
  <c r="H39" i="3" s="1"/>
  <c r="F40" i="3" s="1"/>
  <c r="E40" i="3" s="1"/>
  <c r="F39" i="2" l="1"/>
  <c r="E39" i="2" s="1"/>
  <c r="H39" i="2" s="1"/>
  <c r="F40" i="2" s="1"/>
  <c r="E40" i="2" s="1"/>
</calcChain>
</file>

<file path=xl/sharedStrings.xml><?xml version="1.0" encoding="utf-8"?>
<sst xmlns="http://schemas.openxmlformats.org/spreadsheetml/2006/main" count="80" uniqueCount="45">
  <si>
    <t>Datum dospijeća</t>
  </si>
  <si>
    <t>Isplata s kamatama</t>
  </si>
  <si>
    <t xml:space="preserve">Uplata </t>
  </si>
  <si>
    <t xml:space="preserve">Isplata </t>
  </si>
  <si>
    <t>Suma Uplata</t>
  </si>
  <si>
    <t xml:space="preserve">rmj </t>
  </si>
  <si>
    <t>r</t>
  </si>
  <si>
    <t>p</t>
  </si>
  <si>
    <t>Štednja</t>
  </si>
  <si>
    <t>Kamate</t>
  </si>
  <si>
    <t>Konformna kamatna stopa</t>
  </si>
  <si>
    <t>Godišnja kamatna stopa</t>
  </si>
  <si>
    <t>Broj uplata</t>
  </si>
  <si>
    <t>Visina uplate</t>
  </si>
  <si>
    <t>Prenumerando ili Postnumerando</t>
  </si>
  <si>
    <t>Broj ukamacivanja tijekom godine</t>
  </si>
  <si>
    <t>Konačna vrijednost</t>
  </si>
  <si>
    <t>Razdoblje</t>
  </si>
  <si>
    <t>Isplata kredita</t>
  </si>
  <si>
    <t>Otplatna kvota</t>
  </si>
  <si>
    <t>Uplate kamate</t>
  </si>
  <si>
    <t>Druge uplate</t>
  </si>
  <si>
    <t>Stanje kredita</t>
  </si>
  <si>
    <t xml:space="preserve">Anuitet </t>
  </si>
  <si>
    <t>K</t>
  </si>
  <si>
    <t>n</t>
  </si>
  <si>
    <t>m</t>
  </si>
  <si>
    <t>p/m</t>
  </si>
  <si>
    <t>a</t>
  </si>
  <si>
    <t>pgs</t>
  </si>
  <si>
    <t>eks</t>
  </si>
  <si>
    <t>Stavka</t>
  </si>
  <si>
    <t>Nabavna
vrijednost</t>
  </si>
  <si>
    <t xml:space="preserve">Stopa
otpisa
(%) </t>
  </si>
  <si>
    <t xml:space="preserve">Ispravak vrijednosti </t>
  </si>
  <si>
    <t xml:space="preserve">Ispravljena
vrijednost </t>
  </si>
  <si>
    <t>Ostatak
vrijednosti</t>
  </si>
  <si>
    <t>Stroj John Deere T660</t>
  </si>
  <si>
    <t xml:space="preserve">Vrijednost
2024. </t>
  </si>
  <si>
    <t>2025. I 2026. I 2027. I  2028.</t>
  </si>
  <si>
    <t>Godina k</t>
  </si>
  <si>
    <t>Amortizacijska kvota k</t>
  </si>
  <si>
    <t>Akumulirana amortizacija Dk</t>
  </si>
  <si>
    <t>Knjigovodstvena vrijednost Bk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</si>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</sst>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kn&quot;;[Red]\-#,##0.00\ &quot;kn&quot;"/>
    <numFmt numFmtId="164" formatCode="0.000000%"/>
    <numFmt numFmtId="165" formatCode="_-* #,##0.00\ [$€-1]_-;\-* #,##0.00\ [$€-1]_-;_-* &quot;-&quot;??\ [$€-1]_-;_-@_-"/>
    <numFmt numFmtId="166" formatCode="0.0"/>
  </numFmts>
  <fonts count="4" x14ac:knownFonts="1">
    <font>
      <sz val="11"/>
      <color theme="1"/>
      <name val="Trebuchet MS"/>
      <family val="2"/>
      <charset val="238"/>
      <scheme val="minor"/>
    </font>
    <font>
      <sz val="10"/>
      <name val="Arial"/>
      <family val="2"/>
      <charset val="238"/>
    </font>
    <font>
      <sz val="11"/>
      <color theme="5"/>
      <name val="Trebuchet MS"/>
      <family val="2"/>
      <charset val="238"/>
      <scheme val="minor"/>
    </font>
    <font>
      <sz val="8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/>
    <xf numFmtId="10" fontId="0" fillId="0" borderId="0" xfId="0" applyNumberFormat="1"/>
    <xf numFmtId="8" fontId="0" fillId="0" borderId="0" xfId="0" applyNumberFormat="1"/>
    <xf numFmtId="0" fontId="0" fillId="3" borderId="1" xfId="0" applyFill="1" applyBorder="1"/>
    <xf numFmtId="10" fontId="0" fillId="3" borderId="1" xfId="0" applyNumberFormat="1" applyFill="1" applyBorder="1"/>
    <xf numFmtId="164" fontId="0" fillId="3" borderId="1" xfId="0" applyNumberFormat="1" applyFill="1" applyBorder="1"/>
    <xf numFmtId="165" fontId="2" fillId="3" borderId="1" xfId="0" applyNumberFormat="1" applyFont="1" applyFill="1" applyBorder="1"/>
    <xf numFmtId="0" fontId="0" fillId="0" borderId="0" xfId="0" applyAlignment="1">
      <alignment horizontal="right"/>
    </xf>
    <xf numFmtId="0" fontId="3" fillId="3" borderId="1" xfId="0" applyFont="1" applyFill="1" applyBorder="1" applyAlignment="1">
      <alignment horizontal="center"/>
    </xf>
    <xf numFmtId="14" fontId="0" fillId="2" borderId="1" xfId="0" applyNumberFormat="1" applyFill="1" applyBorder="1"/>
    <xf numFmtId="166" fontId="0" fillId="2" borderId="1" xfId="0" applyNumberFormat="1" applyFill="1" applyBorder="1"/>
    <xf numFmtId="10" fontId="0" fillId="0" borderId="0" xfId="0" applyNumberFormat="1" applyAlignment="1">
      <alignment horizontal="right"/>
    </xf>
    <xf numFmtId="8" fontId="0" fillId="2" borderId="1" xfId="0" applyNumberFormat="1" applyFill="1" applyBorder="1"/>
    <xf numFmtId="0" fontId="0" fillId="2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14" fontId="0" fillId="0" borderId="7" xfId="0" applyNumberForma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14" fontId="0" fillId="0" borderId="9" xfId="0" applyNumberFormat="1" applyBorder="1"/>
    <xf numFmtId="0" fontId="0" fillId="0" borderId="9" xfId="0" applyBorder="1"/>
    <xf numFmtId="0" fontId="0" fillId="0" borderId="0" xfId="0" applyAlignment="1">
      <alignment horizontal="center"/>
    </xf>
    <xf numFmtId="0" fontId="0" fillId="4" borderId="10" xfId="0" applyFont="1" applyFill="1" applyBorder="1"/>
    <xf numFmtId="4" fontId="0" fillId="4" borderId="10" xfId="0" applyNumberFormat="1" applyFont="1" applyFill="1" applyBorder="1"/>
    <xf numFmtId="4" fontId="0" fillId="4" borderId="10" xfId="0" applyNumberFormat="1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right" vertical="center" wrapText="1"/>
    </xf>
    <xf numFmtId="0" fontId="0" fillId="5" borderId="10" xfId="0" applyFont="1" applyFill="1" applyBorder="1" applyAlignment="1">
      <alignment wrapText="1"/>
    </xf>
    <xf numFmtId="0" fontId="0" fillId="5" borderId="10" xfId="0" applyFill="1" applyBorder="1"/>
    <xf numFmtId="0" fontId="0" fillId="4" borderId="10" xfId="0" applyFill="1" applyBorder="1"/>
    <xf numFmtId="4" fontId="0" fillId="4" borderId="10" xfId="0" applyNumberFormat="1" applyFill="1" applyBorder="1"/>
    <xf numFmtId="0" fontId="0" fillId="4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3A30-3348-4463-AD91-7181301F4789}">
  <dimension ref="A2:G46"/>
  <sheetViews>
    <sheetView zoomScale="87" zoomScaleNormal="87" workbookViewId="0">
      <selection activeCell="E37" sqref="E37"/>
    </sheetView>
  </sheetViews>
  <sheetFormatPr defaultRowHeight="14.4" x14ac:dyDescent="0.3"/>
  <cols>
    <col min="2" max="2" width="20" customWidth="1"/>
    <col min="3" max="3" width="16.21875" customWidth="1"/>
    <col min="4" max="4" width="17.109375" customWidth="1"/>
    <col min="5" max="5" width="31.5546875" customWidth="1"/>
    <col min="6" max="6" width="28.88671875" customWidth="1"/>
    <col min="7" max="7" width="22.6640625" customWidth="1"/>
    <col min="9" max="9" width="22.33203125" customWidth="1"/>
  </cols>
  <sheetData>
    <row r="2" spans="1:5" ht="15" thickBot="1" x14ac:dyDescent="0.35"/>
    <row r="3" spans="1:5" ht="15" thickBot="1" x14ac:dyDescent="0.35">
      <c r="B3" s="15" t="s">
        <v>0</v>
      </c>
      <c r="C3" s="16" t="s">
        <v>2</v>
      </c>
      <c r="D3" s="17" t="s">
        <v>3</v>
      </c>
      <c r="E3" s="16" t="s">
        <v>1</v>
      </c>
    </row>
    <row r="4" spans="1:5" ht="15" thickBot="1" x14ac:dyDescent="0.35">
      <c r="A4" s="14">
        <v>0</v>
      </c>
      <c r="B4" s="20">
        <v>44296</v>
      </c>
      <c r="C4" s="21">
        <v>500</v>
      </c>
      <c r="D4" s="21">
        <v>0</v>
      </c>
      <c r="E4" s="21">
        <f>ROUNDUP(C4*($C$37^A5-1)/($C$37-1),2)</f>
        <v>500</v>
      </c>
    </row>
    <row r="5" spans="1:5" ht="15" thickBot="1" x14ac:dyDescent="0.35">
      <c r="A5" s="14">
        <v>1</v>
      </c>
      <c r="B5" s="22">
        <v>44326</v>
      </c>
      <c r="C5" s="23">
        <v>500</v>
      </c>
      <c r="D5" s="23">
        <v>0</v>
      </c>
      <c r="E5" s="23">
        <f t="shared" ref="E5:E27" si="0">ROUNDUP(C5*($C$37^A6-1)/($C$37-1),2)</f>
        <v>1001.24</v>
      </c>
    </row>
    <row r="6" spans="1:5" ht="15" thickBot="1" x14ac:dyDescent="0.35">
      <c r="A6" s="14">
        <v>2</v>
      </c>
      <c r="B6" s="22">
        <v>44357</v>
      </c>
      <c r="C6" s="23">
        <v>500</v>
      </c>
      <c r="D6" s="23">
        <v>0</v>
      </c>
      <c r="E6" s="23">
        <f t="shared" si="0"/>
        <v>1503.71</v>
      </c>
    </row>
    <row r="7" spans="1:5" ht="15" thickBot="1" x14ac:dyDescent="0.35">
      <c r="A7" s="14">
        <v>3</v>
      </c>
      <c r="B7" s="22">
        <v>44387</v>
      </c>
      <c r="C7" s="23">
        <v>500</v>
      </c>
      <c r="D7" s="23">
        <v>0</v>
      </c>
      <c r="E7" s="23">
        <f t="shared" si="0"/>
        <v>2007.42</v>
      </c>
    </row>
    <row r="8" spans="1:5" ht="15" thickBot="1" x14ac:dyDescent="0.35">
      <c r="A8" s="14">
        <v>4</v>
      </c>
      <c r="B8" s="22">
        <v>44418</v>
      </c>
      <c r="C8" s="23">
        <v>500</v>
      </c>
      <c r="D8" s="23">
        <v>0</v>
      </c>
      <c r="E8" s="23">
        <f t="shared" si="0"/>
        <v>2512.3700000000003</v>
      </c>
    </row>
    <row r="9" spans="1:5" ht="15" thickBot="1" x14ac:dyDescent="0.35">
      <c r="A9" s="14">
        <v>5</v>
      </c>
      <c r="B9" s="22">
        <v>44449</v>
      </c>
      <c r="C9" s="23">
        <v>500</v>
      </c>
      <c r="D9" s="23">
        <v>0</v>
      </c>
      <c r="E9" s="23">
        <f t="shared" si="0"/>
        <v>3018.5600000000004</v>
      </c>
    </row>
    <row r="10" spans="1:5" ht="15" thickBot="1" x14ac:dyDescent="0.35">
      <c r="A10" s="14">
        <v>6</v>
      </c>
      <c r="B10" s="22">
        <v>44479</v>
      </c>
      <c r="C10" s="23">
        <v>500</v>
      </c>
      <c r="D10" s="23">
        <v>0</v>
      </c>
      <c r="E10" s="23">
        <f t="shared" si="0"/>
        <v>3526.01</v>
      </c>
    </row>
    <row r="11" spans="1:5" ht="15" thickBot="1" x14ac:dyDescent="0.35">
      <c r="A11" s="14">
        <v>7</v>
      </c>
      <c r="B11" s="22">
        <v>44510</v>
      </c>
      <c r="C11" s="23">
        <v>500</v>
      </c>
      <c r="D11" s="23">
        <v>0</v>
      </c>
      <c r="E11" s="23">
        <f t="shared" si="0"/>
        <v>4034.7000000000003</v>
      </c>
    </row>
    <row r="12" spans="1:5" ht="15" thickBot="1" x14ac:dyDescent="0.35">
      <c r="A12" s="14">
        <v>8</v>
      </c>
      <c r="B12" s="22">
        <v>44540</v>
      </c>
      <c r="C12" s="23">
        <v>500</v>
      </c>
      <c r="D12" s="23">
        <v>0</v>
      </c>
      <c r="E12" s="23">
        <f t="shared" si="0"/>
        <v>4544.6500000000005</v>
      </c>
    </row>
    <row r="13" spans="1:5" ht="15" thickBot="1" x14ac:dyDescent="0.35">
      <c r="A13" s="14">
        <v>9</v>
      </c>
      <c r="B13" s="22">
        <v>44571</v>
      </c>
      <c r="C13" s="23">
        <v>500</v>
      </c>
      <c r="D13" s="23">
        <v>0</v>
      </c>
      <c r="E13" s="23">
        <f t="shared" si="0"/>
        <v>5055.8600000000006</v>
      </c>
    </row>
    <row r="14" spans="1:5" ht="15" thickBot="1" x14ac:dyDescent="0.35">
      <c r="A14" s="14">
        <v>10</v>
      </c>
      <c r="B14" s="22">
        <v>44602</v>
      </c>
      <c r="C14" s="23">
        <v>500</v>
      </c>
      <c r="D14" s="23">
        <v>0</v>
      </c>
      <c r="E14" s="23">
        <f t="shared" si="0"/>
        <v>5568.33</v>
      </c>
    </row>
    <row r="15" spans="1:5" ht="15" thickBot="1" x14ac:dyDescent="0.35">
      <c r="A15" s="14">
        <v>11</v>
      </c>
      <c r="B15" s="22">
        <v>44630</v>
      </c>
      <c r="C15" s="23">
        <v>500</v>
      </c>
      <c r="D15" s="23">
        <v>0</v>
      </c>
      <c r="E15" s="23">
        <f t="shared" si="0"/>
        <v>6082.06</v>
      </c>
    </row>
    <row r="16" spans="1:5" ht="15" thickBot="1" x14ac:dyDescent="0.35">
      <c r="A16" s="14">
        <v>12</v>
      </c>
      <c r="B16" s="22">
        <v>44661</v>
      </c>
      <c r="C16" s="23">
        <v>500</v>
      </c>
      <c r="D16" s="23">
        <v>0</v>
      </c>
      <c r="E16" s="23">
        <f t="shared" si="0"/>
        <v>6597.06</v>
      </c>
    </row>
    <row r="17" spans="1:5" ht="15" thickBot="1" x14ac:dyDescent="0.35">
      <c r="A17" s="14">
        <v>13</v>
      </c>
      <c r="B17" s="22">
        <v>44691</v>
      </c>
      <c r="C17" s="23">
        <v>500</v>
      </c>
      <c r="D17" s="23">
        <v>0</v>
      </c>
      <c r="E17" s="23">
        <f t="shared" si="0"/>
        <v>7113.33</v>
      </c>
    </row>
    <row r="18" spans="1:5" ht="15" thickBot="1" x14ac:dyDescent="0.35">
      <c r="A18" s="14">
        <v>14</v>
      </c>
      <c r="B18" s="22">
        <v>44722</v>
      </c>
      <c r="C18" s="23">
        <v>500</v>
      </c>
      <c r="D18" s="23">
        <v>0</v>
      </c>
      <c r="E18" s="23">
        <f t="shared" si="0"/>
        <v>7630.88</v>
      </c>
    </row>
    <row r="19" spans="1:5" ht="15" thickBot="1" x14ac:dyDescent="0.35">
      <c r="A19" s="14">
        <v>15</v>
      </c>
      <c r="B19" s="22">
        <v>44752</v>
      </c>
      <c r="C19" s="23">
        <v>500</v>
      </c>
      <c r="D19" s="23">
        <v>0</v>
      </c>
      <c r="E19" s="23">
        <f t="shared" si="0"/>
        <v>8149.7</v>
      </c>
    </row>
    <row r="20" spans="1:5" ht="15" thickBot="1" x14ac:dyDescent="0.35">
      <c r="A20" s="14">
        <v>16</v>
      </c>
      <c r="B20" s="22">
        <v>44783</v>
      </c>
      <c r="C20" s="23">
        <v>500</v>
      </c>
      <c r="D20" s="23">
        <v>0</v>
      </c>
      <c r="E20" s="23">
        <f t="shared" si="0"/>
        <v>8669.8000000000011</v>
      </c>
    </row>
    <row r="21" spans="1:5" ht="15" thickBot="1" x14ac:dyDescent="0.35">
      <c r="A21" s="14">
        <v>17</v>
      </c>
      <c r="B21" s="22">
        <v>44814</v>
      </c>
      <c r="C21" s="23">
        <v>500</v>
      </c>
      <c r="D21" s="23">
        <v>0</v>
      </c>
      <c r="E21" s="23">
        <f t="shared" si="0"/>
        <v>9191.18</v>
      </c>
    </row>
    <row r="22" spans="1:5" ht="15" thickBot="1" x14ac:dyDescent="0.35">
      <c r="A22" s="14">
        <v>18</v>
      </c>
      <c r="B22" s="22">
        <v>44844</v>
      </c>
      <c r="C22" s="23">
        <v>500</v>
      </c>
      <c r="D22" s="23">
        <v>0</v>
      </c>
      <c r="E22" s="23">
        <f t="shared" si="0"/>
        <v>9713.85</v>
      </c>
    </row>
    <row r="23" spans="1:5" ht="15" thickBot="1" x14ac:dyDescent="0.35">
      <c r="A23" s="14">
        <v>19</v>
      </c>
      <c r="B23" s="22">
        <v>44875</v>
      </c>
      <c r="C23" s="23">
        <v>500</v>
      </c>
      <c r="D23" s="23">
        <v>0</v>
      </c>
      <c r="E23" s="23">
        <f t="shared" si="0"/>
        <v>10237.800000000001</v>
      </c>
    </row>
    <row r="24" spans="1:5" ht="15" thickBot="1" x14ac:dyDescent="0.35">
      <c r="A24" s="14">
        <v>20</v>
      </c>
      <c r="B24" s="22">
        <v>44905</v>
      </c>
      <c r="C24" s="23">
        <v>500</v>
      </c>
      <c r="D24" s="23">
        <v>0</v>
      </c>
      <c r="E24" s="23">
        <f t="shared" si="0"/>
        <v>10763.050000000001</v>
      </c>
    </row>
    <row r="25" spans="1:5" ht="15" thickBot="1" x14ac:dyDescent="0.35">
      <c r="A25" s="14">
        <v>21</v>
      </c>
      <c r="B25" s="22">
        <v>44936</v>
      </c>
      <c r="C25" s="23">
        <v>500</v>
      </c>
      <c r="D25" s="23">
        <v>0</v>
      </c>
      <c r="E25" s="23">
        <f t="shared" si="0"/>
        <v>11289.6</v>
      </c>
    </row>
    <row r="26" spans="1:5" ht="15" thickBot="1" x14ac:dyDescent="0.35">
      <c r="A26" s="14">
        <v>22</v>
      </c>
      <c r="B26" s="22">
        <v>44967</v>
      </c>
      <c r="C26" s="23">
        <v>500</v>
      </c>
      <c r="D26" s="23">
        <v>0</v>
      </c>
      <c r="E26" s="23">
        <f t="shared" si="0"/>
        <v>11817.44</v>
      </c>
    </row>
    <row r="27" spans="1:5" ht="15" thickBot="1" x14ac:dyDescent="0.35">
      <c r="A27" s="14">
        <v>23</v>
      </c>
      <c r="B27" s="22">
        <v>44995</v>
      </c>
      <c r="C27" s="23">
        <v>500</v>
      </c>
      <c r="D27" s="23">
        <v>0</v>
      </c>
      <c r="E27" s="23">
        <f t="shared" si="0"/>
        <v>12346.59</v>
      </c>
    </row>
    <row r="28" spans="1:5" ht="15" thickBot="1" x14ac:dyDescent="0.35">
      <c r="A28" s="14">
        <v>24</v>
      </c>
      <c r="B28" s="24">
        <v>45026</v>
      </c>
      <c r="C28" s="25">
        <v>0</v>
      </c>
      <c r="D28" s="25">
        <v>0</v>
      </c>
      <c r="E28" s="25">
        <f>E27</f>
        <v>12346.59</v>
      </c>
    </row>
    <row r="29" spans="1:5" ht="15" thickBot="1" x14ac:dyDescent="0.35">
      <c r="B29" s="18" t="s">
        <v>4</v>
      </c>
      <c r="C29" s="19">
        <f>SUM(C4:C28)</f>
        <v>12000</v>
      </c>
      <c r="D29" s="19" t="s">
        <v>8</v>
      </c>
      <c r="E29" s="19">
        <f>E28</f>
        <v>12346.59</v>
      </c>
    </row>
    <row r="30" spans="1:5" ht="15" thickBot="1" x14ac:dyDescent="0.35">
      <c r="D30" s="1" t="s">
        <v>9</v>
      </c>
      <c r="E30" s="1">
        <f>E29-C29</f>
        <v>346.59000000000015</v>
      </c>
    </row>
    <row r="35" spans="2:7" x14ac:dyDescent="0.3">
      <c r="B35" t="s">
        <v>7</v>
      </c>
      <c r="C35">
        <v>3</v>
      </c>
    </row>
    <row r="36" spans="2:7" x14ac:dyDescent="0.3">
      <c r="B36" t="s">
        <v>6</v>
      </c>
      <c r="C36">
        <v>1.03</v>
      </c>
    </row>
    <row r="37" spans="2:7" x14ac:dyDescent="0.3">
      <c r="B37" t="s">
        <v>5</v>
      </c>
      <c r="C37">
        <f>POWER(C36,1/12)</f>
        <v>1.0024662697723037</v>
      </c>
    </row>
    <row r="38" spans="2:7" x14ac:dyDescent="0.3">
      <c r="D38">
        <v>1.00268</v>
      </c>
    </row>
    <row r="42" spans="2:7" ht="15" thickBot="1" x14ac:dyDescent="0.35"/>
    <row r="43" spans="2:7" ht="15" thickBot="1" x14ac:dyDescent="0.35">
      <c r="B43" s="4" t="s">
        <v>11</v>
      </c>
      <c r="C43" s="4" t="s">
        <v>12</v>
      </c>
      <c r="D43" s="4" t="s">
        <v>13</v>
      </c>
      <c r="E43" s="4" t="s">
        <v>14</v>
      </c>
      <c r="F43" s="4" t="s">
        <v>15</v>
      </c>
      <c r="G43" s="4" t="s">
        <v>10</v>
      </c>
    </row>
    <row r="44" spans="2:7" ht="15" thickBot="1" x14ac:dyDescent="0.35">
      <c r="B44" s="5">
        <v>0.03</v>
      </c>
      <c r="C44" s="4">
        <v>24</v>
      </c>
      <c r="D44" s="4">
        <v>500</v>
      </c>
      <c r="E44" s="4">
        <v>0</v>
      </c>
      <c r="F44" s="4">
        <v>12</v>
      </c>
      <c r="G44" s="6">
        <f>((1+B44)^(1/F44)-1)*100%</f>
        <v>2.4662697723036864E-3</v>
      </c>
    </row>
    <row r="45" spans="2:7" ht="15" thickBot="1" x14ac:dyDescent="0.35">
      <c r="B45" s="4"/>
      <c r="C45" s="4"/>
    </row>
    <row r="46" spans="2:7" ht="15" thickBot="1" x14ac:dyDescent="0.35">
      <c r="B46" s="4" t="s">
        <v>16</v>
      </c>
      <c r="C46" s="7">
        <f>ROUNDUP(FV(G44,C44,D44,,E44),2)</f>
        <v>-12346.59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997F9-3C91-4718-8724-6482A2E8185D}">
  <dimension ref="A1:K40"/>
  <sheetViews>
    <sheetView zoomScale="102" zoomScaleNormal="102" workbookViewId="0">
      <selection activeCell="C53" sqref="C53"/>
    </sheetView>
  </sheetViews>
  <sheetFormatPr defaultRowHeight="14.4" x14ac:dyDescent="0.3"/>
  <cols>
    <col min="1" max="1" width="17.21875" customWidth="1"/>
    <col min="2" max="2" width="15.109375" customWidth="1"/>
    <col min="3" max="3" width="21.21875" customWidth="1"/>
    <col min="4" max="4" width="16.33203125" customWidth="1"/>
    <col min="5" max="5" width="17.5546875" customWidth="1"/>
    <col min="6" max="6" width="14.109375" customWidth="1"/>
    <col min="7" max="7" width="14.88671875" customWidth="1"/>
    <col min="8" max="8" width="24.109375" customWidth="1"/>
    <col min="11" max="11" width="10.109375" customWidth="1"/>
  </cols>
  <sheetData>
    <row r="1" spans="1:11" x14ac:dyDescent="0.3">
      <c r="A1" t="s">
        <v>24</v>
      </c>
      <c r="B1">
        <v>8000</v>
      </c>
      <c r="C1" t="s">
        <v>7</v>
      </c>
      <c r="D1" s="2">
        <v>6.2899999999999998E-2</v>
      </c>
      <c r="E1" t="s">
        <v>25</v>
      </c>
      <c r="F1">
        <v>36</v>
      </c>
      <c r="G1" t="s">
        <v>26</v>
      </c>
      <c r="H1">
        <v>12</v>
      </c>
      <c r="I1" t="s">
        <v>27</v>
      </c>
      <c r="J1">
        <f>D1/H1</f>
        <v>5.2416666666666662E-3</v>
      </c>
    </row>
    <row r="2" spans="1:11" ht="15" thickBot="1" x14ac:dyDescent="0.35">
      <c r="A2" t="s">
        <v>28</v>
      </c>
      <c r="B2" s="3">
        <f>PMT(J1,F1,B1,,0)</f>
        <v>-244.42808038375546</v>
      </c>
      <c r="C2" t="s">
        <v>29</v>
      </c>
      <c r="D2" s="8">
        <v>8.02</v>
      </c>
      <c r="E2" t="s">
        <v>30</v>
      </c>
      <c r="F2" s="12">
        <v>8.0199999999999994E-2</v>
      </c>
    </row>
    <row r="3" spans="1:11" ht="15" thickBot="1" x14ac:dyDescent="0.35">
      <c r="A3" s="9" t="s">
        <v>17</v>
      </c>
      <c r="B3" s="9" t="s">
        <v>0</v>
      </c>
      <c r="C3" s="9" t="s">
        <v>18</v>
      </c>
      <c r="D3" s="9" t="s">
        <v>23</v>
      </c>
      <c r="E3" s="9" t="s">
        <v>19</v>
      </c>
      <c r="F3" s="9" t="s">
        <v>20</v>
      </c>
      <c r="G3" s="9" t="s">
        <v>21</v>
      </c>
      <c r="H3" s="9" t="s">
        <v>22</v>
      </c>
    </row>
    <row r="4" spans="1:11" ht="15" thickBot="1" x14ac:dyDescent="0.35">
      <c r="A4" s="4">
        <v>0</v>
      </c>
      <c r="B4" s="10">
        <v>45077</v>
      </c>
      <c r="C4" s="1">
        <v>8000</v>
      </c>
      <c r="D4" s="1"/>
      <c r="E4" s="1"/>
      <c r="F4" s="1"/>
      <c r="G4" s="1"/>
      <c r="H4" s="1">
        <v>8000</v>
      </c>
    </row>
    <row r="5" spans="1:11" ht="15" thickBot="1" x14ac:dyDescent="0.35">
      <c r="A5" s="4">
        <v>1</v>
      </c>
      <c r="B5" s="10">
        <v>45107</v>
      </c>
      <c r="C5" s="1"/>
      <c r="D5" s="13">
        <f>-$B$2</f>
        <v>244.42808038375546</v>
      </c>
      <c r="E5" s="11">
        <f>ROUND(D5-F5,2)</f>
        <v>202.5</v>
      </c>
      <c r="F5" s="1">
        <f>ROUND(H4*$J$1,2)</f>
        <v>41.93</v>
      </c>
      <c r="G5" s="1"/>
      <c r="H5" s="1">
        <f>H4-E5</f>
        <v>7797.5</v>
      </c>
      <c r="K5" s="3"/>
    </row>
    <row r="6" spans="1:11" ht="15" thickBot="1" x14ac:dyDescent="0.35">
      <c r="A6" s="4">
        <v>2</v>
      </c>
      <c r="B6" s="10">
        <v>45138</v>
      </c>
      <c r="C6" s="1"/>
      <c r="D6" s="13">
        <f t="shared" ref="D6:D39" si="0">-$B$2</f>
        <v>244.42808038375546</v>
      </c>
      <c r="E6" s="11">
        <f t="shared" ref="E6:E39" si="1">ROUND(D6-F6,2)</f>
        <v>203.56</v>
      </c>
      <c r="F6" s="1">
        <f t="shared" ref="F6:F40" si="2">ROUND(H5*$J$1,2)</f>
        <v>40.869999999999997</v>
      </c>
      <c r="G6" s="1"/>
      <c r="H6" s="1">
        <f t="shared" ref="H6:H39" si="3">H5-E6</f>
        <v>7593.94</v>
      </c>
    </row>
    <row r="7" spans="1:11" ht="15" thickBot="1" x14ac:dyDescent="0.35">
      <c r="A7" s="4">
        <v>3</v>
      </c>
      <c r="B7" s="10">
        <v>45169</v>
      </c>
      <c r="C7" s="1"/>
      <c r="D7" s="13">
        <f t="shared" si="0"/>
        <v>244.42808038375546</v>
      </c>
      <c r="E7" s="11">
        <f t="shared" si="1"/>
        <v>204.63</v>
      </c>
      <c r="F7" s="1">
        <f t="shared" si="2"/>
        <v>39.799999999999997</v>
      </c>
      <c r="G7" s="1"/>
      <c r="H7" s="1">
        <f t="shared" si="3"/>
        <v>7389.3099999999995</v>
      </c>
    </row>
    <row r="8" spans="1:11" ht="15" thickBot="1" x14ac:dyDescent="0.35">
      <c r="A8" s="4">
        <v>4</v>
      </c>
      <c r="B8" s="10">
        <v>45199</v>
      </c>
      <c r="C8" s="1"/>
      <c r="D8" s="13">
        <f t="shared" si="0"/>
        <v>244.42808038375546</v>
      </c>
      <c r="E8" s="11">
        <f t="shared" si="1"/>
        <v>205.7</v>
      </c>
      <c r="F8" s="1">
        <f t="shared" si="2"/>
        <v>38.729999999999997</v>
      </c>
      <c r="G8" s="1"/>
      <c r="H8" s="1">
        <f t="shared" si="3"/>
        <v>7183.61</v>
      </c>
    </row>
    <row r="9" spans="1:11" ht="15" thickBot="1" x14ac:dyDescent="0.35">
      <c r="A9" s="4">
        <v>5</v>
      </c>
      <c r="B9" s="10">
        <v>45230</v>
      </c>
      <c r="C9" s="1"/>
      <c r="D9" s="13">
        <f t="shared" si="0"/>
        <v>244.42808038375546</v>
      </c>
      <c r="E9" s="11">
        <f t="shared" si="1"/>
        <v>206.78</v>
      </c>
      <c r="F9" s="1">
        <f t="shared" si="2"/>
        <v>37.65</v>
      </c>
      <c r="G9" s="1"/>
      <c r="H9" s="1">
        <f t="shared" si="3"/>
        <v>6976.83</v>
      </c>
    </row>
    <row r="10" spans="1:11" ht="15" thickBot="1" x14ac:dyDescent="0.35">
      <c r="A10" s="4">
        <v>6</v>
      </c>
      <c r="B10" s="10">
        <v>45260</v>
      </c>
      <c r="C10" s="1"/>
      <c r="D10" s="13">
        <f t="shared" si="0"/>
        <v>244.42808038375546</v>
      </c>
      <c r="E10" s="11">
        <f t="shared" si="1"/>
        <v>207.86</v>
      </c>
      <c r="F10" s="1">
        <f t="shared" si="2"/>
        <v>36.57</v>
      </c>
      <c r="G10" s="1"/>
      <c r="H10" s="1">
        <f t="shared" si="3"/>
        <v>6768.97</v>
      </c>
    </row>
    <row r="11" spans="1:11" ht="15" thickBot="1" x14ac:dyDescent="0.35">
      <c r="A11" s="4">
        <v>7</v>
      </c>
      <c r="B11" s="10">
        <v>45291</v>
      </c>
      <c r="C11" s="1"/>
      <c r="D11" s="13">
        <f t="shared" si="0"/>
        <v>244.42808038375546</v>
      </c>
      <c r="E11" s="11">
        <f t="shared" si="1"/>
        <v>208.95</v>
      </c>
      <c r="F11" s="1">
        <f t="shared" si="2"/>
        <v>35.479999999999997</v>
      </c>
      <c r="G11" s="1"/>
      <c r="H11" s="1">
        <f t="shared" si="3"/>
        <v>6560.02</v>
      </c>
    </row>
    <row r="12" spans="1:11" ht="15" thickBot="1" x14ac:dyDescent="0.35">
      <c r="A12" s="4">
        <v>8</v>
      </c>
      <c r="B12" s="10">
        <v>45322</v>
      </c>
      <c r="C12" s="1"/>
      <c r="D12" s="13">
        <f t="shared" si="0"/>
        <v>244.42808038375546</v>
      </c>
      <c r="E12" s="11">
        <f t="shared" si="1"/>
        <v>210.04</v>
      </c>
      <c r="F12" s="1">
        <f t="shared" si="2"/>
        <v>34.39</v>
      </c>
      <c r="G12" s="1"/>
      <c r="H12" s="1">
        <f t="shared" si="3"/>
        <v>6349.9800000000005</v>
      </c>
    </row>
    <row r="13" spans="1:11" ht="15" thickBot="1" x14ac:dyDescent="0.35">
      <c r="A13" s="4">
        <v>9</v>
      </c>
      <c r="B13" s="10">
        <v>45351</v>
      </c>
      <c r="C13" s="1"/>
      <c r="D13" s="13">
        <f t="shared" si="0"/>
        <v>244.42808038375546</v>
      </c>
      <c r="E13" s="11">
        <f t="shared" si="1"/>
        <v>211.15</v>
      </c>
      <c r="F13" s="1">
        <f t="shared" si="2"/>
        <v>33.28</v>
      </c>
      <c r="G13" s="1"/>
      <c r="H13" s="1">
        <f t="shared" si="3"/>
        <v>6138.8300000000008</v>
      </c>
    </row>
    <row r="14" spans="1:11" ht="15" thickBot="1" x14ac:dyDescent="0.35">
      <c r="A14" s="4">
        <v>10</v>
      </c>
      <c r="B14" s="10">
        <v>45382</v>
      </c>
      <c r="C14" s="1"/>
      <c r="D14" s="13">
        <f t="shared" si="0"/>
        <v>244.42808038375546</v>
      </c>
      <c r="E14" s="11">
        <f t="shared" si="1"/>
        <v>212.25</v>
      </c>
      <c r="F14" s="1">
        <f t="shared" si="2"/>
        <v>32.18</v>
      </c>
      <c r="G14" s="1"/>
      <c r="H14" s="1">
        <f t="shared" si="3"/>
        <v>5926.5800000000008</v>
      </c>
    </row>
    <row r="15" spans="1:11" ht="15" thickBot="1" x14ac:dyDescent="0.35">
      <c r="A15" s="4">
        <v>11</v>
      </c>
      <c r="B15" s="10">
        <v>45412</v>
      </c>
      <c r="C15" s="1"/>
      <c r="D15" s="13">
        <f t="shared" si="0"/>
        <v>244.42808038375546</v>
      </c>
      <c r="E15" s="11">
        <f t="shared" si="1"/>
        <v>213.36</v>
      </c>
      <c r="F15" s="1">
        <f t="shared" si="2"/>
        <v>31.07</v>
      </c>
      <c r="G15" s="1"/>
      <c r="H15" s="1">
        <f t="shared" si="3"/>
        <v>5713.2200000000012</v>
      </c>
    </row>
    <row r="16" spans="1:11" ht="15" thickBot="1" x14ac:dyDescent="0.35">
      <c r="A16" s="4">
        <v>12</v>
      </c>
      <c r="B16" s="10">
        <v>45443</v>
      </c>
      <c r="C16" s="1"/>
      <c r="D16" s="13">
        <f t="shared" si="0"/>
        <v>244.42808038375546</v>
      </c>
      <c r="E16" s="11">
        <f t="shared" si="1"/>
        <v>214.48</v>
      </c>
      <c r="F16" s="1">
        <f t="shared" si="2"/>
        <v>29.95</v>
      </c>
      <c r="G16" s="1"/>
      <c r="H16" s="1">
        <f t="shared" si="3"/>
        <v>5498.7400000000016</v>
      </c>
    </row>
    <row r="17" spans="1:8" ht="15" thickBot="1" x14ac:dyDescent="0.35">
      <c r="A17" s="4">
        <v>13</v>
      </c>
      <c r="B17" s="10">
        <v>45473</v>
      </c>
      <c r="C17" s="1"/>
      <c r="D17" s="13">
        <f t="shared" si="0"/>
        <v>244.42808038375546</v>
      </c>
      <c r="E17" s="11">
        <f t="shared" si="1"/>
        <v>215.61</v>
      </c>
      <c r="F17" s="1">
        <f t="shared" si="2"/>
        <v>28.82</v>
      </c>
      <c r="G17" s="1"/>
      <c r="H17" s="1">
        <f t="shared" si="3"/>
        <v>5283.1300000000019</v>
      </c>
    </row>
    <row r="18" spans="1:8" ht="15" thickBot="1" x14ac:dyDescent="0.35">
      <c r="A18" s="4">
        <v>14</v>
      </c>
      <c r="B18" s="10">
        <v>45504</v>
      </c>
      <c r="C18" s="1"/>
      <c r="D18" s="13">
        <f t="shared" si="0"/>
        <v>244.42808038375546</v>
      </c>
      <c r="E18" s="11">
        <f t="shared" si="1"/>
        <v>216.74</v>
      </c>
      <c r="F18" s="1">
        <f t="shared" si="2"/>
        <v>27.69</v>
      </c>
      <c r="G18" s="1"/>
      <c r="H18" s="1">
        <f t="shared" si="3"/>
        <v>5066.3900000000021</v>
      </c>
    </row>
    <row r="19" spans="1:8" ht="15" thickBot="1" x14ac:dyDescent="0.35">
      <c r="A19" s="4">
        <v>15</v>
      </c>
      <c r="B19" s="10">
        <v>45535</v>
      </c>
      <c r="C19" s="1"/>
      <c r="D19" s="13">
        <f t="shared" si="0"/>
        <v>244.42808038375546</v>
      </c>
      <c r="E19" s="11">
        <f t="shared" si="1"/>
        <v>217.87</v>
      </c>
      <c r="F19" s="1">
        <f t="shared" si="2"/>
        <v>26.56</v>
      </c>
      <c r="G19" s="1"/>
      <c r="H19" s="1">
        <f t="shared" si="3"/>
        <v>4848.5200000000023</v>
      </c>
    </row>
    <row r="20" spans="1:8" ht="15" thickBot="1" x14ac:dyDescent="0.35">
      <c r="A20" s="4">
        <v>16</v>
      </c>
      <c r="B20" s="10">
        <v>45565</v>
      </c>
      <c r="C20" s="1"/>
      <c r="D20" s="13">
        <f t="shared" si="0"/>
        <v>244.42808038375546</v>
      </c>
      <c r="E20" s="11">
        <f t="shared" si="1"/>
        <v>219.02</v>
      </c>
      <c r="F20" s="1">
        <f t="shared" si="2"/>
        <v>25.41</v>
      </c>
      <c r="G20" s="1"/>
      <c r="H20" s="1">
        <f t="shared" si="3"/>
        <v>4629.5000000000018</v>
      </c>
    </row>
    <row r="21" spans="1:8" ht="15" thickBot="1" x14ac:dyDescent="0.35">
      <c r="A21" s="4">
        <v>17</v>
      </c>
      <c r="B21" s="10">
        <v>45596</v>
      </c>
      <c r="C21" s="1"/>
      <c r="D21" s="13">
        <f t="shared" si="0"/>
        <v>244.42808038375546</v>
      </c>
      <c r="E21" s="11">
        <f t="shared" si="1"/>
        <v>220.16</v>
      </c>
      <c r="F21" s="1">
        <f t="shared" si="2"/>
        <v>24.27</v>
      </c>
      <c r="G21" s="1"/>
      <c r="H21" s="1">
        <f t="shared" si="3"/>
        <v>4409.340000000002</v>
      </c>
    </row>
    <row r="22" spans="1:8" ht="15" thickBot="1" x14ac:dyDescent="0.35">
      <c r="A22" s="4">
        <v>18</v>
      </c>
      <c r="B22" s="10">
        <v>45626</v>
      </c>
      <c r="C22" s="1"/>
      <c r="D22" s="13">
        <f t="shared" si="0"/>
        <v>244.42808038375546</v>
      </c>
      <c r="E22" s="11">
        <f t="shared" si="1"/>
        <v>221.32</v>
      </c>
      <c r="F22" s="1">
        <f t="shared" si="2"/>
        <v>23.11</v>
      </c>
      <c r="G22" s="1"/>
      <c r="H22" s="1">
        <f t="shared" si="3"/>
        <v>4188.0200000000023</v>
      </c>
    </row>
    <row r="23" spans="1:8" ht="15" thickBot="1" x14ac:dyDescent="0.35">
      <c r="A23" s="4">
        <v>19</v>
      </c>
      <c r="B23" s="10">
        <v>45657</v>
      </c>
      <c r="C23" s="1"/>
      <c r="D23" s="13">
        <f t="shared" si="0"/>
        <v>244.42808038375546</v>
      </c>
      <c r="E23" s="11">
        <f t="shared" si="1"/>
        <v>222.48</v>
      </c>
      <c r="F23" s="1">
        <f t="shared" si="2"/>
        <v>21.95</v>
      </c>
      <c r="G23" s="1"/>
      <c r="H23" s="1">
        <f t="shared" si="3"/>
        <v>3965.5400000000022</v>
      </c>
    </row>
    <row r="24" spans="1:8" ht="15" thickBot="1" x14ac:dyDescent="0.35">
      <c r="A24" s="4">
        <v>20</v>
      </c>
      <c r="B24" s="10">
        <v>45688</v>
      </c>
      <c r="C24" s="1"/>
      <c r="D24" s="13">
        <f t="shared" si="0"/>
        <v>244.42808038375546</v>
      </c>
      <c r="E24" s="11">
        <f t="shared" si="1"/>
        <v>223.64</v>
      </c>
      <c r="F24" s="1">
        <f t="shared" si="2"/>
        <v>20.79</v>
      </c>
      <c r="G24" s="1"/>
      <c r="H24" s="1">
        <f t="shared" si="3"/>
        <v>3741.9000000000024</v>
      </c>
    </row>
    <row r="25" spans="1:8" ht="15" thickBot="1" x14ac:dyDescent="0.35">
      <c r="A25" s="4">
        <v>21</v>
      </c>
      <c r="B25" s="10">
        <v>45716</v>
      </c>
      <c r="C25" s="1"/>
      <c r="D25" s="13">
        <f t="shared" si="0"/>
        <v>244.42808038375546</v>
      </c>
      <c r="E25" s="11">
        <f t="shared" si="1"/>
        <v>224.82</v>
      </c>
      <c r="F25" s="1">
        <f t="shared" si="2"/>
        <v>19.61</v>
      </c>
      <c r="G25" s="1"/>
      <c r="H25" s="1">
        <f t="shared" si="3"/>
        <v>3517.0800000000022</v>
      </c>
    </row>
    <row r="26" spans="1:8" ht="15" thickBot="1" x14ac:dyDescent="0.35">
      <c r="A26" s="4">
        <v>22</v>
      </c>
      <c r="B26" s="10">
        <v>45747</v>
      </c>
      <c r="C26" s="1"/>
      <c r="D26" s="13">
        <f t="shared" si="0"/>
        <v>244.42808038375546</v>
      </c>
      <c r="E26" s="11">
        <f t="shared" si="1"/>
        <v>225.99</v>
      </c>
      <c r="F26" s="1">
        <f t="shared" si="2"/>
        <v>18.440000000000001</v>
      </c>
      <c r="G26" s="1"/>
      <c r="H26" s="1">
        <f t="shared" si="3"/>
        <v>3291.090000000002</v>
      </c>
    </row>
    <row r="27" spans="1:8" ht="15" thickBot="1" x14ac:dyDescent="0.35">
      <c r="A27" s="4">
        <v>23</v>
      </c>
      <c r="B27" s="10">
        <v>45777</v>
      </c>
      <c r="C27" s="1"/>
      <c r="D27" s="13">
        <f t="shared" si="0"/>
        <v>244.42808038375546</v>
      </c>
      <c r="E27" s="11">
        <f t="shared" si="1"/>
        <v>227.18</v>
      </c>
      <c r="F27" s="1">
        <f t="shared" si="2"/>
        <v>17.25</v>
      </c>
      <c r="G27" s="1"/>
      <c r="H27" s="1">
        <f t="shared" si="3"/>
        <v>3063.9100000000021</v>
      </c>
    </row>
    <row r="28" spans="1:8" ht="15" thickBot="1" x14ac:dyDescent="0.35">
      <c r="A28" s="4">
        <v>24</v>
      </c>
      <c r="B28" s="10">
        <v>45808</v>
      </c>
      <c r="C28" s="1"/>
      <c r="D28" s="13">
        <f t="shared" si="0"/>
        <v>244.42808038375546</v>
      </c>
      <c r="E28" s="11">
        <f t="shared" si="1"/>
        <v>228.37</v>
      </c>
      <c r="F28" s="1">
        <f t="shared" si="2"/>
        <v>16.059999999999999</v>
      </c>
      <c r="G28" s="1"/>
      <c r="H28" s="1">
        <f t="shared" si="3"/>
        <v>2835.5400000000022</v>
      </c>
    </row>
    <row r="29" spans="1:8" ht="15" thickBot="1" x14ac:dyDescent="0.35">
      <c r="A29" s="4">
        <v>25</v>
      </c>
      <c r="B29" s="10">
        <v>45838</v>
      </c>
      <c r="C29" s="1"/>
      <c r="D29" s="13">
        <f t="shared" si="0"/>
        <v>244.42808038375546</v>
      </c>
      <c r="E29" s="11">
        <f t="shared" si="1"/>
        <v>229.57</v>
      </c>
      <c r="F29" s="1">
        <f t="shared" si="2"/>
        <v>14.86</v>
      </c>
      <c r="G29" s="1"/>
      <c r="H29" s="1">
        <f t="shared" si="3"/>
        <v>2605.9700000000021</v>
      </c>
    </row>
    <row r="30" spans="1:8" ht="15" thickBot="1" x14ac:dyDescent="0.35">
      <c r="A30" s="4">
        <v>26</v>
      </c>
      <c r="B30" s="10">
        <v>45869</v>
      </c>
      <c r="C30" s="1"/>
      <c r="D30" s="13">
        <f t="shared" si="0"/>
        <v>244.42808038375546</v>
      </c>
      <c r="E30" s="11">
        <f t="shared" si="1"/>
        <v>230.77</v>
      </c>
      <c r="F30" s="1">
        <f t="shared" si="2"/>
        <v>13.66</v>
      </c>
      <c r="G30" s="1"/>
      <c r="H30" s="1">
        <f t="shared" si="3"/>
        <v>2375.2000000000021</v>
      </c>
    </row>
    <row r="31" spans="1:8" ht="15" thickBot="1" x14ac:dyDescent="0.35">
      <c r="A31" s="4">
        <v>27</v>
      </c>
      <c r="B31" s="10">
        <v>45900</v>
      </c>
      <c r="C31" s="1"/>
      <c r="D31" s="13">
        <f t="shared" si="0"/>
        <v>244.42808038375546</v>
      </c>
      <c r="E31" s="11">
        <f t="shared" si="1"/>
        <v>231.98</v>
      </c>
      <c r="F31" s="1">
        <f t="shared" si="2"/>
        <v>12.45</v>
      </c>
      <c r="G31" s="1"/>
      <c r="H31" s="1">
        <f t="shared" si="3"/>
        <v>2143.2200000000021</v>
      </c>
    </row>
    <row r="32" spans="1:8" ht="15" thickBot="1" x14ac:dyDescent="0.35">
      <c r="A32" s="4">
        <v>28</v>
      </c>
      <c r="B32" s="10">
        <v>45930</v>
      </c>
      <c r="C32" s="1"/>
      <c r="D32" s="13">
        <f t="shared" si="0"/>
        <v>244.42808038375546</v>
      </c>
      <c r="E32" s="11">
        <f t="shared" si="1"/>
        <v>233.2</v>
      </c>
      <c r="F32" s="1">
        <f t="shared" si="2"/>
        <v>11.23</v>
      </c>
      <c r="G32" s="1"/>
      <c r="H32" s="1">
        <f t="shared" si="3"/>
        <v>1910.020000000002</v>
      </c>
    </row>
    <row r="33" spans="1:8" ht="15" thickBot="1" x14ac:dyDescent="0.35">
      <c r="A33" s="4">
        <v>29</v>
      </c>
      <c r="B33" s="10">
        <v>45961</v>
      </c>
      <c r="C33" s="1"/>
      <c r="D33" s="13">
        <f t="shared" si="0"/>
        <v>244.42808038375546</v>
      </c>
      <c r="E33" s="11">
        <f t="shared" si="1"/>
        <v>234.42</v>
      </c>
      <c r="F33" s="1">
        <f t="shared" si="2"/>
        <v>10.01</v>
      </c>
      <c r="G33" s="1"/>
      <c r="H33" s="1">
        <f t="shared" si="3"/>
        <v>1675.600000000002</v>
      </c>
    </row>
    <row r="34" spans="1:8" ht="15" thickBot="1" x14ac:dyDescent="0.35">
      <c r="A34" s="4">
        <v>30</v>
      </c>
      <c r="B34" s="10">
        <v>45991</v>
      </c>
      <c r="C34" s="1"/>
      <c r="D34" s="13">
        <f t="shared" si="0"/>
        <v>244.42808038375546</v>
      </c>
      <c r="E34" s="11">
        <f t="shared" si="1"/>
        <v>235.65</v>
      </c>
      <c r="F34" s="1">
        <f t="shared" si="2"/>
        <v>8.7799999999999994</v>
      </c>
      <c r="G34" s="1"/>
      <c r="H34" s="1">
        <f t="shared" si="3"/>
        <v>1439.9500000000019</v>
      </c>
    </row>
    <row r="35" spans="1:8" ht="15" thickBot="1" x14ac:dyDescent="0.35">
      <c r="A35" s="4">
        <v>31</v>
      </c>
      <c r="B35" s="10">
        <v>46022</v>
      </c>
      <c r="C35" s="1"/>
      <c r="D35" s="13">
        <f t="shared" si="0"/>
        <v>244.42808038375546</v>
      </c>
      <c r="E35" s="11">
        <f t="shared" si="1"/>
        <v>236.88</v>
      </c>
      <c r="F35" s="1">
        <f t="shared" si="2"/>
        <v>7.55</v>
      </c>
      <c r="G35" s="1"/>
      <c r="H35" s="1">
        <f t="shared" si="3"/>
        <v>1203.070000000002</v>
      </c>
    </row>
    <row r="36" spans="1:8" ht="15" thickBot="1" x14ac:dyDescent="0.35">
      <c r="A36" s="4">
        <v>32</v>
      </c>
      <c r="B36" s="10">
        <v>46053</v>
      </c>
      <c r="C36" s="1"/>
      <c r="D36" s="13">
        <f t="shared" si="0"/>
        <v>244.42808038375546</v>
      </c>
      <c r="E36" s="11">
        <f t="shared" si="1"/>
        <v>238.12</v>
      </c>
      <c r="F36" s="1">
        <f t="shared" si="2"/>
        <v>6.31</v>
      </c>
      <c r="G36" s="1"/>
      <c r="H36" s="1">
        <f t="shared" si="3"/>
        <v>964.95000000000198</v>
      </c>
    </row>
    <row r="37" spans="1:8" ht="15" thickBot="1" x14ac:dyDescent="0.35">
      <c r="A37" s="4">
        <v>33</v>
      </c>
      <c r="B37" s="10">
        <v>46081</v>
      </c>
      <c r="C37" s="1"/>
      <c r="D37" s="13">
        <f t="shared" si="0"/>
        <v>244.42808038375546</v>
      </c>
      <c r="E37" s="11">
        <f t="shared" si="1"/>
        <v>239.37</v>
      </c>
      <c r="F37" s="1">
        <f t="shared" si="2"/>
        <v>5.0599999999999996</v>
      </c>
      <c r="G37" s="1"/>
      <c r="H37" s="1">
        <f t="shared" si="3"/>
        <v>725.58000000000197</v>
      </c>
    </row>
    <row r="38" spans="1:8" ht="15" thickBot="1" x14ac:dyDescent="0.35">
      <c r="A38" s="4">
        <v>34</v>
      </c>
      <c r="B38" s="10">
        <v>46112</v>
      </c>
      <c r="C38" s="1"/>
      <c r="D38" s="13">
        <f t="shared" si="0"/>
        <v>244.42808038375546</v>
      </c>
      <c r="E38" s="11">
        <f t="shared" si="1"/>
        <v>240.63</v>
      </c>
      <c r="F38" s="1">
        <f t="shared" si="2"/>
        <v>3.8</v>
      </c>
      <c r="G38" s="1"/>
      <c r="H38" s="1">
        <f t="shared" si="3"/>
        <v>484.95000000000198</v>
      </c>
    </row>
    <row r="39" spans="1:8" ht="15" thickBot="1" x14ac:dyDescent="0.35">
      <c r="A39" s="4">
        <v>35</v>
      </c>
      <c r="B39" s="10">
        <v>46142</v>
      </c>
      <c r="C39" s="1"/>
      <c r="D39" s="13">
        <f t="shared" si="0"/>
        <v>244.42808038375546</v>
      </c>
      <c r="E39" s="11">
        <f t="shared" si="1"/>
        <v>241.89</v>
      </c>
      <c r="F39" s="1">
        <f t="shared" si="2"/>
        <v>2.54</v>
      </c>
      <c r="G39" s="1"/>
      <c r="H39" s="1">
        <f t="shared" si="3"/>
        <v>243.06000000000199</v>
      </c>
    </row>
    <row r="40" spans="1:8" ht="15" thickBot="1" x14ac:dyDescent="0.35">
      <c r="A40" s="4">
        <v>36</v>
      </c>
      <c r="B40" s="10">
        <v>46173</v>
      </c>
      <c r="C40" s="1"/>
      <c r="D40" s="13">
        <f>-$B$2-0.098080384</f>
        <v>244.32999999975544</v>
      </c>
      <c r="E40" s="1">
        <f t="shared" ref="E40" si="4">D40-F40</f>
        <v>243.05999999975543</v>
      </c>
      <c r="F40" s="1">
        <f t="shared" si="2"/>
        <v>1.27</v>
      </c>
      <c r="G40" s="1"/>
      <c r="H40" s="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B63F-71D8-4C2D-A773-E6BE7F647C85}">
  <dimension ref="A1:J40"/>
  <sheetViews>
    <sheetView topLeftCell="A12" workbookViewId="0">
      <selection activeCell="D40" sqref="D40"/>
    </sheetView>
  </sheetViews>
  <sheetFormatPr defaultRowHeight="14.4" x14ac:dyDescent="0.3"/>
  <cols>
    <col min="2" max="2" width="14.6640625" customWidth="1"/>
    <col min="3" max="3" width="15.109375" customWidth="1"/>
    <col min="5" max="5" width="10.77734375" customWidth="1"/>
    <col min="6" max="6" width="14.5546875" customWidth="1"/>
    <col min="7" max="7" width="15.33203125" customWidth="1"/>
    <col min="8" max="8" width="13.44140625" customWidth="1"/>
  </cols>
  <sheetData>
    <row r="1" spans="1:10" x14ac:dyDescent="0.3">
      <c r="A1" t="s">
        <v>24</v>
      </c>
      <c r="B1">
        <v>8000</v>
      </c>
      <c r="C1" t="s">
        <v>7</v>
      </c>
      <c r="D1" s="2">
        <v>6.2899999999999998E-2</v>
      </c>
      <c r="E1" t="s">
        <v>25</v>
      </c>
      <c r="F1">
        <v>36</v>
      </c>
      <c r="G1" t="s">
        <v>26</v>
      </c>
      <c r="H1">
        <v>12</v>
      </c>
      <c r="I1" t="s">
        <v>27</v>
      </c>
      <c r="J1">
        <f>D1/H1</f>
        <v>5.2416666666666662E-3</v>
      </c>
    </row>
    <row r="2" spans="1:10" ht="15" thickBot="1" x14ac:dyDescent="0.35">
      <c r="A2" t="s">
        <v>28</v>
      </c>
      <c r="B2" s="3">
        <f>PMT(J1,F1,B1,,0)</f>
        <v>-244.42808038375546</v>
      </c>
      <c r="C2" t="s">
        <v>29</v>
      </c>
      <c r="D2" s="12">
        <v>8.0199999999999994E-2</v>
      </c>
      <c r="E2" t="s">
        <v>30</v>
      </c>
      <c r="F2" s="12">
        <v>8.0199999999999994E-2</v>
      </c>
    </row>
    <row r="3" spans="1:10" ht="15" thickBot="1" x14ac:dyDescent="0.35">
      <c r="A3" s="9" t="s">
        <v>17</v>
      </c>
      <c r="B3" s="9" t="s">
        <v>0</v>
      </c>
      <c r="C3" s="9" t="s">
        <v>18</v>
      </c>
      <c r="D3" s="9" t="s">
        <v>23</v>
      </c>
      <c r="E3" s="9" t="s">
        <v>19</v>
      </c>
      <c r="F3" s="9" t="s">
        <v>20</v>
      </c>
      <c r="G3" s="9" t="s">
        <v>21</v>
      </c>
      <c r="H3" s="9" t="s">
        <v>22</v>
      </c>
    </row>
    <row r="4" spans="1:10" ht="15" thickBot="1" x14ac:dyDescent="0.35">
      <c r="A4" s="4">
        <v>0</v>
      </c>
      <c r="B4" s="10">
        <v>45077</v>
      </c>
      <c r="C4" s="1">
        <v>8000</v>
      </c>
      <c r="D4" s="1"/>
      <c r="E4" s="1"/>
      <c r="F4" s="1"/>
      <c r="G4" s="1"/>
      <c r="H4" s="1">
        <v>8000</v>
      </c>
    </row>
    <row r="5" spans="1:10" ht="15" thickBot="1" x14ac:dyDescent="0.35">
      <c r="A5" s="4">
        <v>1</v>
      </c>
      <c r="B5" s="10">
        <v>45107</v>
      </c>
      <c r="C5" s="1"/>
      <c r="D5" s="1">
        <v>246.47</v>
      </c>
      <c r="E5" s="11">
        <f>ROUND(D5-F5,2)</f>
        <v>204.54</v>
      </c>
      <c r="F5" s="1">
        <f>ROUND(H4*$J$1,2)</f>
        <v>41.93</v>
      </c>
      <c r="G5" s="1"/>
      <c r="H5" s="1">
        <f>H4-E5</f>
        <v>7795.46</v>
      </c>
    </row>
    <row r="6" spans="1:10" ht="15" thickBot="1" x14ac:dyDescent="0.35">
      <c r="A6" s="4">
        <v>2</v>
      </c>
      <c r="B6" s="10">
        <v>45138</v>
      </c>
      <c r="C6" s="1"/>
      <c r="D6" s="1">
        <v>246.47</v>
      </c>
      <c r="E6" s="1">
        <f t="shared" ref="E6:E40" si="0">D6-F6</f>
        <v>205.61</v>
      </c>
      <c r="F6" s="1">
        <f t="shared" ref="F6:F40" si="1">ROUND(H5*$J$1,2)</f>
        <v>40.86</v>
      </c>
      <c r="G6" s="1"/>
      <c r="H6" s="1">
        <f t="shared" ref="H6:H39" si="2">H5-E6</f>
        <v>7589.85</v>
      </c>
    </row>
    <row r="7" spans="1:10" ht="15" thickBot="1" x14ac:dyDescent="0.35">
      <c r="A7" s="4">
        <v>3</v>
      </c>
      <c r="B7" s="10">
        <v>45169</v>
      </c>
      <c r="C7" s="1"/>
      <c r="D7" s="1">
        <v>246.47</v>
      </c>
      <c r="E7" s="1">
        <f t="shared" si="0"/>
        <v>206.69</v>
      </c>
      <c r="F7" s="1">
        <f t="shared" si="1"/>
        <v>39.78</v>
      </c>
      <c r="G7" s="1"/>
      <c r="H7" s="1">
        <f t="shared" si="2"/>
        <v>7383.1600000000008</v>
      </c>
    </row>
    <row r="8" spans="1:10" ht="15" thickBot="1" x14ac:dyDescent="0.35">
      <c r="A8" s="4">
        <v>4</v>
      </c>
      <c r="B8" s="10">
        <v>45199</v>
      </c>
      <c r="C8" s="1"/>
      <c r="D8" s="1">
        <v>246.47</v>
      </c>
      <c r="E8" s="1">
        <f t="shared" si="0"/>
        <v>207.76999999999998</v>
      </c>
      <c r="F8" s="1">
        <f t="shared" si="1"/>
        <v>38.700000000000003</v>
      </c>
      <c r="G8" s="1"/>
      <c r="H8" s="1">
        <f t="shared" si="2"/>
        <v>7175.3900000000012</v>
      </c>
    </row>
    <row r="9" spans="1:10" ht="15" thickBot="1" x14ac:dyDescent="0.35">
      <c r="A9" s="4">
        <v>5</v>
      </c>
      <c r="B9" s="10">
        <v>45230</v>
      </c>
      <c r="C9" s="1"/>
      <c r="D9" s="1">
        <v>246.47</v>
      </c>
      <c r="E9" s="1">
        <f t="shared" si="0"/>
        <v>208.86</v>
      </c>
      <c r="F9" s="1">
        <f t="shared" si="1"/>
        <v>37.61</v>
      </c>
      <c r="G9" s="1"/>
      <c r="H9" s="1">
        <f t="shared" si="2"/>
        <v>6966.5300000000016</v>
      </c>
    </row>
    <row r="10" spans="1:10" ht="15" thickBot="1" x14ac:dyDescent="0.35">
      <c r="A10" s="4">
        <v>6</v>
      </c>
      <c r="B10" s="10">
        <v>45260</v>
      </c>
      <c r="C10" s="1"/>
      <c r="D10" s="1">
        <v>246.47</v>
      </c>
      <c r="E10" s="1">
        <f t="shared" si="0"/>
        <v>209.95</v>
      </c>
      <c r="F10" s="1">
        <f t="shared" si="1"/>
        <v>36.520000000000003</v>
      </c>
      <c r="G10" s="1"/>
      <c r="H10" s="1">
        <f t="shared" si="2"/>
        <v>6756.5800000000017</v>
      </c>
    </row>
    <row r="11" spans="1:10" ht="15" thickBot="1" x14ac:dyDescent="0.35">
      <c r="A11" s="4">
        <v>7</v>
      </c>
      <c r="B11" s="10">
        <v>45291</v>
      </c>
      <c r="C11" s="1"/>
      <c r="D11" s="1">
        <v>246.47</v>
      </c>
      <c r="E11" s="1">
        <f t="shared" si="0"/>
        <v>211.05</v>
      </c>
      <c r="F11" s="1">
        <f t="shared" si="1"/>
        <v>35.42</v>
      </c>
      <c r="G11" s="1"/>
      <c r="H11" s="1">
        <f t="shared" si="2"/>
        <v>6545.5300000000016</v>
      </c>
    </row>
    <row r="12" spans="1:10" ht="15" thickBot="1" x14ac:dyDescent="0.35">
      <c r="A12" s="4">
        <v>8</v>
      </c>
      <c r="B12" s="10">
        <v>45322</v>
      </c>
      <c r="C12" s="1"/>
      <c r="D12" s="1">
        <v>246.47</v>
      </c>
      <c r="E12" s="1">
        <f t="shared" si="0"/>
        <v>212.16</v>
      </c>
      <c r="F12" s="1">
        <f t="shared" si="1"/>
        <v>34.31</v>
      </c>
      <c r="G12" s="1"/>
      <c r="H12" s="1">
        <f t="shared" si="2"/>
        <v>6333.3700000000017</v>
      </c>
    </row>
    <row r="13" spans="1:10" ht="15" thickBot="1" x14ac:dyDescent="0.35">
      <c r="A13" s="4">
        <v>9</v>
      </c>
      <c r="B13" s="10">
        <v>45351</v>
      </c>
      <c r="C13" s="1"/>
      <c r="D13" s="1">
        <v>246.47</v>
      </c>
      <c r="E13" s="1">
        <f t="shared" si="0"/>
        <v>213.26999999999998</v>
      </c>
      <c r="F13" s="1">
        <f t="shared" si="1"/>
        <v>33.200000000000003</v>
      </c>
      <c r="G13" s="1"/>
      <c r="H13" s="1">
        <f t="shared" si="2"/>
        <v>6120.1000000000022</v>
      </c>
    </row>
    <row r="14" spans="1:10" ht="15" thickBot="1" x14ac:dyDescent="0.35">
      <c r="A14" s="4">
        <v>10</v>
      </c>
      <c r="B14" s="10">
        <v>45382</v>
      </c>
      <c r="C14" s="1"/>
      <c r="D14" s="1">
        <v>246.47</v>
      </c>
      <c r="E14" s="1">
        <f t="shared" si="0"/>
        <v>214.39</v>
      </c>
      <c r="F14" s="1">
        <f t="shared" si="1"/>
        <v>32.08</v>
      </c>
      <c r="G14" s="1"/>
      <c r="H14" s="1">
        <f t="shared" si="2"/>
        <v>5905.7100000000019</v>
      </c>
    </row>
    <row r="15" spans="1:10" ht="15" thickBot="1" x14ac:dyDescent="0.35">
      <c r="A15" s="4">
        <v>11</v>
      </c>
      <c r="B15" s="10">
        <v>45412</v>
      </c>
      <c r="C15" s="1"/>
      <c r="D15" s="1">
        <v>246.47</v>
      </c>
      <c r="E15" s="1">
        <f t="shared" si="0"/>
        <v>215.51</v>
      </c>
      <c r="F15" s="1">
        <f t="shared" si="1"/>
        <v>30.96</v>
      </c>
      <c r="G15" s="1"/>
      <c r="H15" s="1">
        <f t="shared" si="2"/>
        <v>5690.2000000000016</v>
      </c>
    </row>
    <row r="16" spans="1:10" ht="15" thickBot="1" x14ac:dyDescent="0.35">
      <c r="A16" s="4">
        <v>12</v>
      </c>
      <c r="B16" s="10">
        <v>45443</v>
      </c>
      <c r="C16" s="1"/>
      <c r="D16" s="1">
        <v>246.47</v>
      </c>
      <c r="E16" s="1">
        <f t="shared" si="0"/>
        <v>216.64</v>
      </c>
      <c r="F16" s="1">
        <f t="shared" si="1"/>
        <v>29.83</v>
      </c>
      <c r="G16" s="1"/>
      <c r="H16" s="1">
        <f t="shared" si="2"/>
        <v>5473.5600000000013</v>
      </c>
    </row>
    <row r="17" spans="1:8" ht="15" thickBot="1" x14ac:dyDescent="0.35">
      <c r="A17" s="4">
        <v>13</v>
      </c>
      <c r="B17" s="10">
        <v>45473</v>
      </c>
      <c r="C17" s="1"/>
      <c r="D17" s="1">
        <v>246.47</v>
      </c>
      <c r="E17" s="1">
        <f t="shared" si="0"/>
        <v>217.78</v>
      </c>
      <c r="F17" s="1">
        <f t="shared" si="1"/>
        <v>28.69</v>
      </c>
      <c r="G17" s="1"/>
      <c r="H17" s="1">
        <f t="shared" si="2"/>
        <v>5255.7800000000016</v>
      </c>
    </row>
    <row r="18" spans="1:8" ht="15" thickBot="1" x14ac:dyDescent="0.35">
      <c r="A18" s="4">
        <v>14</v>
      </c>
      <c r="B18" s="10">
        <v>45504</v>
      </c>
      <c r="C18" s="1"/>
      <c r="D18" s="1">
        <v>246.47</v>
      </c>
      <c r="E18" s="1">
        <f t="shared" si="0"/>
        <v>218.92</v>
      </c>
      <c r="F18" s="1">
        <f t="shared" si="1"/>
        <v>27.55</v>
      </c>
      <c r="G18" s="1"/>
      <c r="H18" s="1">
        <f t="shared" si="2"/>
        <v>5036.8600000000015</v>
      </c>
    </row>
    <row r="19" spans="1:8" ht="15" thickBot="1" x14ac:dyDescent="0.35">
      <c r="A19" s="4">
        <v>15</v>
      </c>
      <c r="B19" s="10">
        <v>45535</v>
      </c>
      <c r="C19" s="1"/>
      <c r="D19" s="1">
        <v>246.47</v>
      </c>
      <c r="E19" s="1">
        <f t="shared" si="0"/>
        <v>220.07</v>
      </c>
      <c r="F19" s="1">
        <f t="shared" si="1"/>
        <v>26.4</v>
      </c>
      <c r="G19" s="1"/>
      <c r="H19" s="1">
        <f t="shared" si="2"/>
        <v>4816.7900000000018</v>
      </c>
    </row>
    <row r="20" spans="1:8" ht="15" thickBot="1" x14ac:dyDescent="0.35">
      <c r="A20" s="4">
        <v>16</v>
      </c>
      <c r="B20" s="10">
        <v>45565</v>
      </c>
      <c r="C20" s="1"/>
      <c r="D20" s="1">
        <v>246.47</v>
      </c>
      <c r="E20" s="1">
        <f t="shared" si="0"/>
        <v>221.22</v>
      </c>
      <c r="F20" s="1">
        <f t="shared" si="1"/>
        <v>25.25</v>
      </c>
      <c r="G20" s="1"/>
      <c r="H20" s="1">
        <f t="shared" si="2"/>
        <v>4595.5700000000015</v>
      </c>
    </row>
    <row r="21" spans="1:8" ht="15" thickBot="1" x14ac:dyDescent="0.35">
      <c r="A21" s="4">
        <v>17</v>
      </c>
      <c r="B21" s="10">
        <v>45596</v>
      </c>
      <c r="C21" s="1"/>
      <c r="D21" s="1">
        <v>246.47</v>
      </c>
      <c r="E21" s="1">
        <f t="shared" si="0"/>
        <v>222.38</v>
      </c>
      <c r="F21" s="1">
        <f t="shared" si="1"/>
        <v>24.09</v>
      </c>
      <c r="G21" s="1"/>
      <c r="H21" s="1">
        <f t="shared" si="2"/>
        <v>4373.1900000000014</v>
      </c>
    </row>
    <row r="22" spans="1:8" ht="15" thickBot="1" x14ac:dyDescent="0.35">
      <c r="A22" s="4">
        <v>18</v>
      </c>
      <c r="B22" s="10">
        <v>45626</v>
      </c>
      <c r="C22" s="1"/>
      <c r="D22" s="1">
        <v>246.47</v>
      </c>
      <c r="E22" s="1">
        <f t="shared" si="0"/>
        <v>223.55</v>
      </c>
      <c r="F22" s="1">
        <f t="shared" si="1"/>
        <v>22.92</v>
      </c>
      <c r="G22" s="1"/>
      <c r="H22" s="1">
        <f t="shared" si="2"/>
        <v>4149.6400000000012</v>
      </c>
    </row>
    <row r="23" spans="1:8" ht="15" thickBot="1" x14ac:dyDescent="0.35">
      <c r="A23" s="4">
        <v>19</v>
      </c>
      <c r="B23" s="10">
        <v>45657</v>
      </c>
      <c r="C23" s="1"/>
      <c r="D23" s="1">
        <v>246.47</v>
      </c>
      <c r="E23" s="1">
        <f t="shared" si="0"/>
        <v>224.72</v>
      </c>
      <c r="F23" s="1">
        <f t="shared" si="1"/>
        <v>21.75</v>
      </c>
      <c r="G23" s="1"/>
      <c r="H23" s="1">
        <f t="shared" si="2"/>
        <v>3924.9200000000014</v>
      </c>
    </row>
    <row r="24" spans="1:8" ht="15" thickBot="1" x14ac:dyDescent="0.35">
      <c r="A24" s="4">
        <v>20</v>
      </c>
      <c r="B24" s="10">
        <v>45688</v>
      </c>
      <c r="C24" s="1"/>
      <c r="D24" s="1">
        <v>246.47</v>
      </c>
      <c r="E24" s="1">
        <f t="shared" si="0"/>
        <v>225.9</v>
      </c>
      <c r="F24" s="1">
        <f t="shared" si="1"/>
        <v>20.57</v>
      </c>
      <c r="G24" s="1"/>
      <c r="H24" s="1">
        <f t="shared" si="2"/>
        <v>3699.0200000000013</v>
      </c>
    </row>
    <row r="25" spans="1:8" ht="15" thickBot="1" x14ac:dyDescent="0.35">
      <c r="A25" s="4">
        <v>21</v>
      </c>
      <c r="B25" s="10">
        <v>45716</v>
      </c>
      <c r="C25" s="1"/>
      <c r="D25" s="1">
        <v>246.47</v>
      </c>
      <c r="E25" s="1">
        <f t="shared" si="0"/>
        <v>227.07999999999998</v>
      </c>
      <c r="F25" s="1">
        <f t="shared" si="1"/>
        <v>19.39</v>
      </c>
      <c r="G25" s="1"/>
      <c r="H25" s="1">
        <f t="shared" si="2"/>
        <v>3471.9400000000014</v>
      </c>
    </row>
    <row r="26" spans="1:8" ht="15" thickBot="1" x14ac:dyDescent="0.35">
      <c r="A26" s="4">
        <v>22</v>
      </c>
      <c r="B26" s="10">
        <v>45747</v>
      </c>
      <c r="C26" s="1"/>
      <c r="D26" s="1">
        <v>246.47</v>
      </c>
      <c r="E26" s="1">
        <f t="shared" si="0"/>
        <v>228.27</v>
      </c>
      <c r="F26" s="1">
        <f t="shared" si="1"/>
        <v>18.2</v>
      </c>
      <c r="G26" s="1"/>
      <c r="H26" s="1">
        <f t="shared" si="2"/>
        <v>3243.6700000000014</v>
      </c>
    </row>
    <row r="27" spans="1:8" ht="15" thickBot="1" x14ac:dyDescent="0.35">
      <c r="A27" s="4">
        <v>23</v>
      </c>
      <c r="B27" s="10">
        <v>45777</v>
      </c>
      <c r="C27" s="1"/>
      <c r="D27" s="1">
        <v>246.47</v>
      </c>
      <c r="E27" s="1">
        <f t="shared" si="0"/>
        <v>229.47</v>
      </c>
      <c r="F27" s="1">
        <f t="shared" si="1"/>
        <v>17</v>
      </c>
      <c r="G27" s="1"/>
      <c r="H27" s="1">
        <f t="shared" si="2"/>
        <v>3014.2000000000016</v>
      </c>
    </row>
    <row r="28" spans="1:8" ht="15" thickBot="1" x14ac:dyDescent="0.35">
      <c r="A28" s="4">
        <v>24</v>
      </c>
      <c r="B28" s="10">
        <v>45808</v>
      </c>
      <c r="C28" s="1"/>
      <c r="D28" s="1">
        <v>246.47</v>
      </c>
      <c r="E28" s="1">
        <f t="shared" si="0"/>
        <v>230.67</v>
      </c>
      <c r="F28" s="1">
        <f t="shared" si="1"/>
        <v>15.8</v>
      </c>
      <c r="G28" s="1"/>
      <c r="H28" s="1">
        <f t="shared" si="2"/>
        <v>2783.5300000000016</v>
      </c>
    </row>
    <row r="29" spans="1:8" ht="15" thickBot="1" x14ac:dyDescent="0.35">
      <c r="A29" s="4">
        <v>25</v>
      </c>
      <c r="B29" s="10">
        <v>45838</v>
      </c>
      <c r="C29" s="1"/>
      <c r="D29" s="1">
        <v>246.47</v>
      </c>
      <c r="E29" s="1">
        <f t="shared" si="0"/>
        <v>231.88</v>
      </c>
      <c r="F29" s="1">
        <f t="shared" si="1"/>
        <v>14.59</v>
      </c>
      <c r="G29" s="1"/>
      <c r="H29" s="1">
        <f t="shared" si="2"/>
        <v>2551.6500000000015</v>
      </c>
    </row>
    <row r="30" spans="1:8" ht="15" thickBot="1" x14ac:dyDescent="0.35">
      <c r="A30" s="4">
        <v>26</v>
      </c>
      <c r="B30" s="10">
        <v>45869</v>
      </c>
      <c r="C30" s="1"/>
      <c r="D30" s="1">
        <v>246.47</v>
      </c>
      <c r="E30" s="1">
        <f t="shared" si="0"/>
        <v>233.1</v>
      </c>
      <c r="F30" s="1">
        <f t="shared" si="1"/>
        <v>13.37</v>
      </c>
      <c r="G30" s="1"/>
      <c r="H30" s="1">
        <f t="shared" si="2"/>
        <v>2318.5500000000015</v>
      </c>
    </row>
    <row r="31" spans="1:8" ht="15" thickBot="1" x14ac:dyDescent="0.35">
      <c r="A31" s="4">
        <v>27</v>
      </c>
      <c r="B31" s="10">
        <v>45900</v>
      </c>
      <c r="C31" s="1"/>
      <c r="D31" s="1">
        <v>246.47</v>
      </c>
      <c r="E31" s="1">
        <f t="shared" si="0"/>
        <v>234.32</v>
      </c>
      <c r="F31" s="1">
        <f t="shared" si="1"/>
        <v>12.15</v>
      </c>
      <c r="G31" s="1"/>
      <c r="H31" s="1">
        <f t="shared" si="2"/>
        <v>2084.2300000000014</v>
      </c>
    </row>
    <row r="32" spans="1:8" ht="15" thickBot="1" x14ac:dyDescent="0.35">
      <c r="A32" s="4">
        <v>28</v>
      </c>
      <c r="B32" s="10">
        <v>45930</v>
      </c>
      <c r="C32" s="1"/>
      <c r="D32" s="1">
        <v>246.47</v>
      </c>
      <c r="E32" s="1">
        <f t="shared" si="0"/>
        <v>235.55</v>
      </c>
      <c r="F32" s="1">
        <f t="shared" si="1"/>
        <v>10.92</v>
      </c>
      <c r="G32" s="1"/>
      <c r="H32" s="1">
        <f t="shared" si="2"/>
        <v>1848.6800000000014</v>
      </c>
    </row>
    <row r="33" spans="1:8" ht="15" thickBot="1" x14ac:dyDescent="0.35">
      <c r="A33" s="4">
        <v>29</v>
      </c>
      <c r="B33" s="10">
        <v>45961</v>
      </c>
      <c r="C33" s="1"/>
      <c r="D33" s="1">
        <v>246.47</v>
      </c>
      <c r="E33" s="1">
        <f t="shared" si="0"/>
        <v>236.78</v>
      </c>
      <c r="F33" s="1">
        <f t="shared" si="1"/>
        <v>9.69</v>
      </c>
      <c r="G33" s="1"/>
      <c r="H33" s="1">
        <f t="shared" si="2"/>
        <v>1611.9000000000015</v>
      </c>
    </row>
    <row r="34" spans="1:8" ht="15" thickBot="1" x14ac:dyDescent="0.35">
      <c r="A34" s="4">
        <v>30</v>
      </c>
      <c r="B34" s="10">
        <v>45991</v>
      </c>
      <c r="C34" s="1"/>
      <c r="D34" s="1">
        <v>246.47</v>
      </c>
      <c r="E34" s="1">
        <f t="shared" si="0"/>
        <v>238.02</v>
      </c>
      <c r="F34" s="1">
        <f t="shared" si="1"/>
        <v>8.4499999999999993</v>
      </c>
      <c r="G34" s="1"/>
      <c r="H34" s="1">
        <f t="shared" si="2"/>
        <v>1373.8800000000015</v>
      </c>
    </row>
    <row r="35" spans="1:8" ht="15" thickBot="1" x14ac:dyDescent="0.35">
      <c r="A35" s="4">
        <v>31</v>
      </c>
      <c r="B35" s="10">
        <v>46022</v>
      </c>
      <c r="C35" s="1"/>
      <c r="D35" s="1">
        <v>246.47</v>
      </c>
      <c r="E35" s="1">
        <f t="shared" si="0"/>
        <v>239.27</v>
      </c>
      <c r="F35" s="1">
        <f t="shared" si="1"/>
        <v>7.2</v>
      </c>
      <c r="G35" s="1"/>
      <c r="H35" s="1">
        <f t="shared" si="2"/>
        <v>1134.6100000000015</v>
      </c>
    </row>
    <row r="36" spans="1:8" ht="15" thickBot="1" x14ac:dyDescent="0.35">
      <c r="A36" s="4">
        <v>32</v>
      </c>
      <c r="B36" s="10">
        <v>46053</v>
      </c>
      <c r="C36" s="1"/>
      <c r="D36" s="1">
        <v>246.47</v>
      </c>
      <c r="E36" s="1">
        <f t="shared" si="0"/>
        <v>240.52</v>
      </c>
      <c r="F36" s="1">
        <f t="shared" si="1"/>
        <v>5.95</v>
      </c>
      <c r="G36" s="1"/>
      <c r="H36" s="1">
        <f t="shared" si="2"/>
        <v>894.09000000000151</v>
      </c>
    </row>
    <row r="37" spans="1:8" ht="15" thickBot="1" x14ac:dyDescent="0.35">
      <c r="A37" s="4">
        <v>33</v>
      </c>
      <c r="B37" s="10">
        <v>46081</v>
      </c>
      <c r="C37" s="1"/>
      <c r="D37" s="1">
        <v>246.47</v>
      </c>
      <c r="E37" s="1">
        <f t="shared" si="0"/>
        <v>241.78</v>
      </c>
      <c r="F37" s="1">
        <f t="shared" si="1"/>
        <v>4.6900000000000004</v>
      </c>
      <c r="G37" s="1"/>
      <c r="H37" s="1">
        <f t="shared" si="2"/>
        <v>652.31000000000154</v>
      </c>
    </row>
    <row r="38" spans="1:8" ht="15" thickBot="1" x14ac:dyDescent="0.35">
      <c r="A38" s="4">
        <v>34</v>
      </c>
      <c r="B38" s="10">
        <v>46112</v>
      </c>
      <c r="C38" s="1"/>
      <c r="D38" s="1">
        <v>246.47</v>
      </c>
      <c r="E38" s="1">
        <f t="shared" si="0"/>
        <v>243.05</v>
      </c>
      <c r="F38" s="1">
        <f t="shared" si="1"/>
        <v>3.42</v>
      </c>
      <c r="G38" s="1"/>
      <c r="H38" s="1">
        <f t="shared" si="2"/>
        <v>409.26000000000153</v>
      </c>
    </row>
    <row r="39" spans="1:8" ht="15" thickBot="1" x14ac:dyDescent="0.35">
      <c r="A39" s="4">
        <v>35</v>
      </c>
      <c r="B39" s="10">
        <v>46142</v>
      </c>
      <c r="C39" s="1"/>
      <c r="D39" s="1">
        <v>246.47</v>
      </c>
      <c r="E39" s="1">
        <f t="shared" si="0"/>
        <v>244.32</v>
      </c>
      <c r="F39" s="1">
        <f t="shared" si="1"/>
        <v>2.15</v>
      </c>
      <c r="G39" s="1"/>
      <c r="H39" s="1">
        <f t="shared" si="2"/>
        <v>164.94000000000153</v>
      </c>
    </row>
    <row r="40" spans="1:8" ht="15" thickBot="1" x14ac:dyDescent="0.35">
      <c r="A40" s="4">
        <v>36</v>
      </c>
      <c r="B40" s="10">
        <v>46173</v>
      </c>
      <c r="C40" s="1"/>
      <c r="D40" s="1">
        <v>241.16</v>
      </c>
      <c r="E40" s="1">
        <f t="shared" si="0"/>
        <v>240.29999999999998</v>
      </c>
      <c r="F40" s="1">
        <f t="shared" si="1"/>
        <v>0.86</v>
      </c>
      <c r="G40" s="1"/>
      <c r="H40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8422-8D11-43DC-99E6-4EC6868F2C03}">
  <dimension ref="A1:J40"/>
  <sheetViews>
    <sheetView workbookViewId="0">
      <selection activeCell="B2" sqref="B2"/>
    </sheetView>
  </sheetViews>
  <sheetFormatPr defaultRowHeight="14.4" x14ac:dyDescent="0.3"/>
  <cols>
    <col min="2" max="2" width="15.6640625" customWidth="1"/>
    <col min="3" max="3" width="14.88671875" customWidth="1"/>
    <col min="4" max="4" width="13.21875" customWidth="1"/>
    <col min="5" max="5" width="14.109375" customWidth="1"/>
    <col min="6" max="6" width="13.88671875" customWidth="1"/>
    <col min="8" max="8" width="11.6640625" customWidth="1"/>
  </cols>
  <sheetData>
    <row r="1" spans="1:10" x14ac:dyDescent="0.3">
      <c r="A1" t="s">
        <v>24</v>
      </c>
      <c r="B1">
        <v>8000</v>
      </c>
      <c r="C1" t="s">
        <v>7</v>
      </c>
      <c r="D1" s="2">
        <v>6.2899999999999998E-2</v>
      </c>
      <c r="E1" t="s">
        <v>25</v>
      </c>
      <c r="F1">
        <v>36</v>
      </c>
      <c r="G1" t="s">
        <v>26</v>
      </c>
      <c r="H1">
        <v>12</v>
      </c>
      <c r="I1" t="s">
        <v>27</v>
      </c>
      <c r="J1">
        <f>D1/H1</f>
        <v>5.2416666666666662E-3</v>
      </c>
    </row>
    <row r="2" spans="1:10" ht="15" thickBot="1" x14ac:dyDescent="0.35">
      <c r="A2" t="s">
        <v>28</v>
      </c>
      <c r="B2" s="3">
        <f>PMT(J1,F1,B1,,0)</f>
        <v>-244.42808038375546</v>
      </c>
      <c r="C2" t="s">
        <v>29</v>
      </c>
      <c r="D2" s="12">
        <v>8.0199999999999994E-2</v>
      </c>
      <c r="E2" t="s">
        <v>30</v>
      </c>
      <c r="F2" s="12">
        <v>8.0199999999999994E-2</v>
      </c>
    </row>
    <row r="3" spans="1:10" ht="15" thickBot="1" x14ac:dyDescent="0.35">
      <c r="A3" s="9" t="s">
        <v>17</v>
      </c>
      <c r="B3" s="9" t="s">
        <v>0</v>
      </c>
      <c r="C3" s="9" t="s">
        <v>18</v>
      </c>
      <c r="D3" s="9" t="s">
        <v>23</v>
      </c>
      <c r="E3" s="9" t="s">
        <v>19</v>
      </c>
      <c r="F3" s="9" t="s">
        <v>20</v>
      </c>
      <c r="G3" s="9" t="s">
        <v>21</v>
      </c>
      <c r="H3" s="9" t="s">
        <v>22</v>
      </c>
    </row>
    <row r="4" spans="1:10" ht="15" thickBot="1" x14ac:dyDescent="0.35">
      <c r="A4" s="4">
        <v>0</v>
      </c>
      <c r="B4" s="10">
        <v>45077</v>
      </c>
      <c r="C4" s="1">
        <v>8000</v>
      </c>
      <c r="D4" s="1"/>
      <c r="E4" s="1"/>
      <c r="F4" s="1"/>
      <c r="G4" s="1"/>
      <c r="H4" s="1">
        <v>8000</v>
      </c>
    </row>
    <row r="5" spans="1:10" ht="15" thickBot="1" x14ac:dyDescent="0.35">
      <c r="A5" s="4">
        <v>1</v>
      </c>
      <c r="B5" s="10">
        <v>45107</v>
      </c>
      <c r="C5" s="1"/>
      <c r="D5" s="1">
        <v>246.47</v>
      </c>
      <c r="E5" s="11">
        <f>ROUND(D5-F5,2)</f>
        <v>204.54</v>
      </c>
      <c r="F5" s="1">
        <f>ROUND(H4*$J$1,2)</f>
        <v>41.93</v>
      </c>
      <c r="G5" s="1"/>
      <c r="H5" s="1">
        <f>H4-E5</f>
        <v>7795.46</v>
      </c>
    </row>
    <row r="6" spans="1:10" ht="15" thickBot="1" x14ac:dyDescent="0.35">
      <c r="A6" s="4">
        <v>2</v>
      </c>
      <c r="B6" s="10">
        <v>45138</v>
      </c>
      <c r="C6" s="1"/>
      <c r="D6" s="1">
        <v>246.47</v>
      </c>
      <c r="E6" s="1">
        <f t="shared" ref="E6:E40" si="0">D6-F6</f>
        <v>205.61</v>
      </c>
      <c r="F6" s="1">
        <f t="shared" ref="F6:F40" si="1">ROUND(H5*$J$1,2)</f>
        <v>40.86</v>
      </c>
      <c r="G6" s="1"/>
      <c r="H6" s="1">
        <f t="shared" ref="H6:H39" si="2">H5-E6</f>
        <v>7589.85</v>
      </c>
    </row>
    <row r="7" spans="1:10" ht="15" thickBot="1" x14ac:dyDescent="0.35">
      <c r="A7" s="4">
        <v>3</v>
      </c>
      <c r="B7" s="10">
        <v>45169</v>
      </c>
      <c r="C7" s="1"/>
      <c r="D7" s="1">
        <v>246.47</v>
      </c>
      <c r="E7" s="1">
        <f t="shared" si="0"/>
        <v>206.69</v>
      </c>
      <c r="F7" s="1">
        <f t="shared" si="1"/>
        <v>39.78</v>
      </c>
      <c r="G7" s="1"/>
      <c r="H7" s="1">
        <f t="shared" si="2"/>
        <v>7383.1600000000008</v>
      </c>
    </row>
    <row r="8" spans="1:10" ht="15" thickBot="1" x14ac:dyDescent="0.35">
      <c r="A8" s="4">
        <v>4</v>
      </c>
      <c r="B8" s="10">
        <v>45199</v>
      </c>
      <c r="C8" s="1"/>
      <c r="D8" s="1">
        <v>246.47</v>
      </c>
      <c r="E8" s="1">
        <f t="shared" si="0"/>
        <v>207.76999999999998</v>
      </c>
      <c r="F8" s="1">
        <f t="shared" si="1"/>
        <v>38.700000000000003</v>
      </c>
      <c r="G8" s="1"/>
      <c r="H8" s="1">
        <f t="shared" si="2"/>
        <v>7175.3900000000012</v>
      </c>
    </row>
    <row r="9" spans="1:10" ht="15" thickBot="1" x14ac:dyDescent="0.35">
      <c r="A9" s="4">
        <v>5</v>
      </c>
      <c r="B9" s="10">
        <v>45230</v>
      </c>
      <c r="C9" s="1"/>
      <c r="D9" s="1">
        <v>246.47</v>
      </c>
      <c r="E9" s="1">
        <f t="shared" si="0"/>
        <v>208.86</v>
      </c>
      <c r="F9" s="1">
        <f t="shared" si="1"/>
        <v>37.61</v>
      </c>
      <c r="G9" s="1"/>
      <c r="H9" s="1">
        <f t="shared" si="2"/>
        <v>6966.5300000000016</v>
      </c>
    </row>
    <row r="10" spans="1:10" ht="15" thickBot="1" x14ac:dyDescent="0.35">
      <c r="A10" s="4">
        <v>6</v>
      </c>
      <c r="B10" s="10">
        <v>45260</v>
      </c>
      <c r="C10" s="1"/>
      <c r="D10" s="1">
        <v>246.47</v>
      </c>
      <c r="E10" s="1">
        <f t="shared" si="0"/>
        <v>209.95</v>
      </c>
      <c r="F10" s="1">
        <f t="shared" si="1"/>
        <v>36.520000000000003</v>
      </c>
      <c r="G10" s="1"/>
      <c r="H10" s="1">
        <f t="shared" si="2"/>
        <v>6756.5800000000017</v>
      </c>
    </row>
    <row r="11" spans="1:10" ht="15" thickBot="1" x14ac:dyDescent="0.35">
      <c r="A11" s="4">
        <v>7</v>
      </c>
      <c r="B11" s="10">
        <v>45291</v>
      </c>
      <c r="C11" s="1"/>
      <c r="D11" s="1">
        <v>246.47</v>
      </c>
      <c r="E11" s="1">
        <f t="shared" si="0"/>
        <v>211.05</v>
      </c>
      <c r="F11" s="1">
        <f t="shared" si="1"/>
        <v>35.42</v>
      </c>
      <c r="G11" s="1"/>
      <c r="H11" s="1">
        <f t="shared" si="2"/>
        <v>6545.5300000000016</v>
      </c>
    </row>
    <row r="12" spans="1:10" ht="15" thickBot="1" x14ac:dyDescent="0.35">
      <c r="A12" s="4">
        <v>8</v>
      </c>
      <c r="B12" s="10">
        <v>45322</v>
      </c>
      <c r="C12" s="1"/>
      <c r="D12" s="1">
        <v>246.47</v>
      </c>
      <c r="E12" s="1">
        <f t="shared" si="0"/>
        <v>212.16</v>
      </c>
      <c r="F12" s="1">
        <f t="shared" si="1"/>
        <v>34.31</v>
      </c>
      <c r="G12" s="1"/>
      <c r="H12" s="1">
        <f t="shared" si="2"/>
        <v>6333.3700000000017</v>
      </c>
    </row>
    <row r="13" spans="1:10" ht="15" thickBot="1" x14ac:dyDescent="0.35">
      <c r="A13" s="4">
        <v>9</v>
      </c>
      <c r="B13" s="10">
        <v>45351</v>
      </c>
      <c r="C13" s="1"/>
      <c r="D13" s="1">
        <v>246.47</v>
      </c>
      <c r="E13" s="1">
        <f t="shared" si="0"/>
        <v>213.26999999999998</v>
      </c>
      <c r="F13" s="1">
        <f t="shared" si="1"/>
        <v>33.200000000000003</v>
      </c>
      <c r="G13" s="1"/>
      <c r="H13" s="1">
        <f t="shared" si="2"/>
        <v>6120.1000000000022</v>
      </c>
    </row>
    <row r="14" spans="1:10" ht="15" thickBot="1" x14ac:dyDescent="0.35">
      <c r="A14" s="4">
        <v>10</v>
      </c>
      <c r="B14" s="10">
        <v>45382</v>
      </c>
      <c r="C14" s="1"/>
      <c r="D14" s="1">
        <v>246.47</v>
      </c>
      <c r="E14" s="1">
        <f t="shared" si="0"/>
        <v>214.39</v>
      </c>
      <c r="F14" s="1">
        <f t="shared" si="1"/>
        <v>32.08</v>
      </c>
      <c r="G14" s="1"/>
      <c r="H14" s="1">
        <f t="shared" si="2"/>
        <v>5905.7100000000019</v>
      </c>
    </row>
    <row r="15" spans="1:10" ht="15" thickBot="1" x14ac:dyDescent="0.35">
      <c r="A15" s="4">
        <v>11</v>
      </c>
      <c r="B15" s="10">
        <v>45412</v>
      </c>
      <c r="C15" s="1"/>
      <c r="D15" s="1">
        <v>246.47</v>
      </c>
      <c r="E15" s="1">
        <f t="shared" si="0"/>
        <v>215.51</v>
      </c>
      <c r="F15" s="1">
        <f t="shared" si="1"/>
        <v>30.96</v>
      </c>
      <c r="G15" s="1"/>
      <c r="H15" s="1">
        <f t="shared" si="2"/>
        <v>5690.2000000000016</v>
      </c>
    </row>
    <row r="16" spans="1:10" ht="15" thickBot="1" x14ac:dyDescent="0.35">
      <c r="A16" s="4">
        <v>12</v>
      </c>
      <c r="B16" s="10">
        <v>45443</v>
      </c>
      <c r="C16" s="1"/>
      <c r="D16" s="1">
        <v>246.47</v>
      </c>
      <c r="E16" s="1">
        <f t="shared" si="0"/>
        <v>216.64</v>
      </c>
      <c r="F16" s="1">
        <f t="shared" si="1"/>
        <v>29.83</v>
      </c>
      <c r="G16" s="1"/>
      <c r="H16" s="1">
        <f t="shared" si="2"/>
        <v>5473.5600000000013</v>
      </c>
    </row>
    <row r="17" spans="1:8" ht="15" thickBot="1" x14ac:dyDescent="0.35">
      <c r="A17" s="4">
        <v>13</v>
      </c>
      <c r="B17" s="10">
        <v>45473</v>
      </c>
      <c r="C17" s="1"/>
      <c r="D17" s="1">
        <v>246.47</v>
      </c>
      <c r="E17" s="1">
        <f t="shared" si="0"/>
        <v>217.78</v>
      </c>
      <c r="F17" s="1">
        <f t="shared" si="1"/>
        <v>28.69</v>
      </c>
      <c r="G17" s="1"/>
      <c r="H17" s="1">
        <f t="shared" si="2"/>
        <v>5255.7800000000016</v>
      </c>
    </row>
    <row r="18" spans="1:8" ht="15" thickBot="1" x14ac:dyDescent="0.35">
      <c r="A18" s="4">
        <v>14</v>
      </c>
      <c r="B18" s="10">
        <v>45504</v>
      </c>
      <c r="C18" s="1"/>
      <c r="D18" s="1">
        <v>246.47</v>
      </c>
      <c r="E18" s="1">
        <f t="shared" si="0"/>
        <v>218.92</v>
      </c>
      <c r="F18" s="1">
        <f t="shared" si="1"/>
        <v>27.55</v>
      </c>
      <c r="G18" s="1"/>
      <c r="H18" s="1">
        <f t="shared" si="2"/>
        <v>5036.8600000000015</v>
      </c>
    </row>
    <row r="19" spans="1:8" ht="15" thickBot="1" x14ac:dyDescent="0.35">
      <c r="A19" s="4">
        <v>15</v>
      </c>
      <c r="B19" s="10">
        <v>45535</v>
      </c>
      <c r="C19" s="1"/>
      <c r="D19" s="1">
        <v>246.47</v>
      </c>
      <c r="E19" s="1">
        <f t="shared" si="0"/>
        <v>220.07</v>
      </c>
      <c r="F19" s="1">
        <f t="shared" si="1"/>
        <v>26.4</v>
      </c>
      <c r="G19" s="1"/>
      <c r="H19" s="1">
        <f t="shared" si="2"/>
        <v>4816.7900000000018</v>
      </c>
    </row>
    <row r="20" spans="1:8" ht="15" thickBot="1" x14ac:dyDescent="0.35">
      <c r="A20" s="4">
        <v>16</v>
      </c>
      <c r="B20" s="10">
        <v>45565</v>
      </c>
      <c r="C20" s="1"/>
      <c r="D20" s="1">
        <v>246.47</v>
      </c>
      <c r="E20" s="1">
        <f t="shared" si="0"/>
        <v>221.22</v>
      </c>
      <c r="F20" s="1">
        <f t="shared" si="1"/>
        <v>25.25</v>
      </c>
      <c r="G20" s="1"/>
      <c r="H20" s="1">
        <f t="shared" si="2"/>
        <v>4595.5700000000015</v>
      </c>
    </row>
    <row r="21" spans="1:8" ht="15" thickBot="1" x14ac:dyDescent="0.35">
      <c r="A21" s="4">
        <v>17</v>
      </c>
      <c r="B21" s="10">
        <v>45596</v>
      </c>
      <c r="C21" s="1"/>
      <c r="D21" s="1">
        <v>246.47</v>
      </c>
      <c r="E21" s="1">
        <f t="shared" si="0"/>
        <v>222.38</v>
      </c>
      <c r="F21" s="1">
        <f t="shared" si="1"/>
        <v>24.09</v>
      </c>
      <c r="G21" s="1"/>
      <c r="H21" s="1">
        <f t="shared" si="2"/>
        <v>4373.1900000000014</v>
      </c>
    </row>
    <row r="22" spans="1:8" ht="15" thickBot="1" x14ac:dyDescent="0.35">
      <c r="A22" s="4">
        <v>18</v>
      </c>
      <c r="B22" s="10">
        <v>45626</v>
      </c>
      <c r="C22" s="1"/>
      <c r="D22" s="1">
        <v>246.47</v>
      </c>
      <c r="E22" s="1">
        <f t="shared" si="0"/>
        <v>223.55</v>
      </c>
      <c r="F22" s="1">
        <f t="shared" si="1"/>
        <v>22.92</v>
      </c>
      <c r="G22" s="1"/>
      <c r="H22" s="1">
        <f t="shared" si="2"/>
        <v>4149.6400000000012</v>
      </c>
    </row>
    <row r="23" spans="1:8" ht="15" thickBot="1" x14ac:dyDescent="0.35">
      <c r="A23" s="4">
        <v>19</v>
      </c>
      <c r="B23" s="10">
        <v>45657</v>
      </c>
      <c r="C23" s="1"/>
      <c r="D23" s="1">
        <v>246.47</v>
      </c>
      <c r="E23" s="1">
        <f t="shared" si="0"/>
        <v>224.72</v>
      </c>
      <c r="F23" s="1">
        <f t="shared" si="1"/>
        <v>21.75</v>
      </c>
      <c r="G23" s="1"/>
      <c r="H23" s="1">
        <f t="shared" si="2"/>
        <v>3924.9200000000014</v>
      </c>
    </row>
    <row r="24" spans="1:8" ht="15" thickBot="1" x14ac:dyDescent="0.35">
      <c r="A24" s="4">
        <v>20</v>
      </c>
      <c r="B24" s="10">
        <v>45688</v>
      </c>
      <c r="C24" s="1"/>
      <c r="D24" s="1">
        <v>246.47</v>
      </c>
      <c r="E24" s="1">
        <f t="shared" si="0"/>
        <v>225.9</v>
      </c>
      <c r="F24" s="1">
        <f t="shared" si="1"/>
        <v>20.57</v>
      </c>
      <c r="G24" s="1"/>
      <c r="H24" s="1">
        <f t="shared" si="2"/>
        <v>3699.0200000000013</v>
      </c>
    </row>
    <row r="25" spans="1:8" ht="15" thickBot="1" x14ac:dyDescent="0.35">
      <c r="A25" s="4">
        <v>21</v>
      </c>
      <c r="B25" s="10">
        <v>45716</v>
      </c>
      <c r="C25" s="1"/>
      <c r="D25" s="1">
        <v>246.47</v>
      </c>
      <c r="E25" s="1">
        <f t="shared" si="0"/>
        <v>227.07999999999998</v>
      </c>
      <c r="F25" s="1">
        <f t="shared" si="1"/>
        <v>19.39</v>
      </c>
      <c r="G25" s="1"/>
      <c r="H25" s="1">
        <f t="shared" si="2"/>
        <v>3471.9400000000014</v>
      </c>
    </row>
    <row r="26" spans="1:8" ht="15" thickBot="1" x14ac:dyDescent="0.35">
      <c r="A26" s="4">
        <v>22</v>
      </c>
      <c r="B26" s="10">
        <v>45747</v>
      </c>
      <c r="C26" s="1"/>
      <c r="D26" s="1">
        <v>246.47</v>
      </c>
      <c r="E26" s="1">
        <f t="shared" si="0"/>
        <v>228.27</v>
      </c>
      <c r="F26" s="1">
        <f t="shared" si="1"/>
        <v>18.2</v>
      </c>
      <c r="G26" s="1"/>
      <c r="H26" s="1">
        <f t="shared" si="2"/>
        <v>3243.6700000000014</v>
      </c>
    </row>
    <row r="27" spans="1:8" ht="15" thickBot="1" x14ac:dyDescent="0.35">
      <c r="A27" s="4">
        <v>23</v>
      </c>
      <c r="B27" s="10">
        <v>45777</v>
      </c>
      <c r="C27" s="1"/>
      <c r="D27" s="1">
        <v>246.47</v>
      </c>
      <c r="E27" s="1">
        <f t="shared" si="0"/>
        <v>229.47</v>
      </c>
      <c r="F27" s="1">
        <f t="shared" si="1"/>
        <v>17</v>
      </c>
      <c r="G27" s="1"/>
      <c r="H27" s="1">
        <f t="shared" si="2"/>
        <v>3014.2000000000016</v>
      </c>
    </row>
    <row r="28" spans="1:8" ht="15" thickBot="1" x14ac:dyDescent="0.35">
      <c r="A28" s="4">
        <v>24</v>
      </c>
      <c r="B28" s="10">
        <v>45808</v>
      </c>
      <c r="C28" s="1"/>
      <c r="D28" s="1">
        <v>246.47</v>
      </c>
      <c r="E28" s="1">
        <f t="shared" si="0"/>
        <v>230.67</v>
      </c>
      <c r="F28" s="1">
        <f t="shared" si="1"/>
        <v>15.8</v>
      </c>
      <c r="G28" s="1"/>
      <c r="H28" s="1">
        <f t="shared" si="2"/>
        <v>2783.5300000000016</v>
      </c>
    </row>
    <row r="29" spans="1:8" ht="15" thickBot="1" x14ac:dyDescent="0.35">
      <c r="A29" s="4">
        <v>25</v>
      </c>
      <c r="B29" s="10">
        <v>45838</v>
      </c>
      <c r="C29" s="1"/>
      <c r="D29" s="1">
        <v>246.47</v>
      </c>
      <c r="E29" s="1">
        <f t="shared" si="0"/>
        <v>231.88</v>
      </c>
      <c r="F29" s="1">
        <f t="shared" si="1"/>
        <v>14.59</v>
      </c>
      <c r="G29" s="1"/>
      <c r="H29" s="1">
        <f t="shared" si="2"/>
        <v>2551.6500000000015</v>
      </c>
    </row>
    <row r="30" spans="1:8" ht="15" thickBot="1" x14ac:dyDescent="0.35">
      <c r="A30" s="4">
        <v>26</v>
      </c>
      <c r="B30" s="10">
        <v>45869</v>
      </c>
      <c r="C30" s="1"/>
      <c r="D30" s="1">
        <v>246.47</v>
      </c>
      <c r="E30" s="1">
        <f t="shared" si="0"/>
        <v>233.1</v>
      </c>
      <c r="F30" s="1">
        <f t="shared" si="1"/>
        <v>13.37</v>
      </c>
      <c r="G30" s="1"/>
      <c r="H30" s="1">
        <f t="shared" si="2"/>
        <v>2318.5500000000015</v>
      </c>
    </row>
    <row r="31" spans="1:8" ht="15" thickBot="1" x14ac:dyDescent="0.35">
      <c r="A31" s="4">
        <v>27</v>
      </c>
      <c r="B31" s="10">
        <v>45900</v>
      </c>
      <c r="C31" s="1"/>
      <c r="D31" s="1">
        <v>246.47</v>
      </c>
      <c r="E31" s="1">
        <f t="shared" si="0"/>
        <v>234.32</v>
      </c>
      <c r="F31" s="1">
        <f t="shared" si="1"/>
        <v>12.15</v>
      </c>
      <c r="G31" s="1"/>
      <c r="H31" s="1">
        <f t="shared" si="2"/>
        <v>2084.2300000000014</v>
      </c>
    </row>
    <row r="32" spans="1:8" ht="15" thickBot="1" x14ac:dyDescent="0.35">
      <c r="A32" s="4">
        <v>28</v>
      </c>
      <c r="B32" s="10">
        <v>45930</v>
      </c>
      <c r="C32" s="1"/>
      <c r="D32" s="1">
        <v>246.47</v>
      </c>
      <c r="E32" s="1">
        <f t="shared" si="0"/>
        <v>235.55</v>
      </c>
      <c r="F32" s="1">
        <f t="shared" si="1"/>
        <v>10.92</v>
      </c>
      <c r="G32" s="1"/>
      <c r="H32" s="1">
        <f t="shared" si="2"/>
        <v>1848.6800000000014</v>
      </c>
    </row>
    <row r="33" spans="1:8" ht="15" thickBot="1" x14ac:dyDescent="0.35">
      <c r="A33" s="4">
        <v>29</v>
      </c>
      <c r="B33" s="10">
        <v>45961</v>
      </c>
      <c r="C33" s="1"/>
      <c r="D33" s="1">
        <v>246.47</v>
      </c>
      <c r="E33" s="1">
        <f t="shared" si="0"/>
        <v>236.78</v>
      </c>
      <c r="F33" s="1">
        <f t="shared" si="1"/>
        <v>9.69</v>
      </c>
      <c r="G33" s="1"/>
      <c r="H33" s="1">
        <f t="shared" si="2"/>
        <v>1611.9000000000015</v>
      </c>
    </row>
    <row r="34" spans="1:8" ht="15" thickBot="1" x14ac:dyDescent="0.35">
      <c r="A34" s="4">
        <v>30</v>
      </c>
      <c r="B34" s="10">
        <v>45991</v>
      </c>
      <c r="C34" s="1"/>
      <c r="D34" s="1">
        <v>246.47</v>
      </c>
      <c r="E34" s="1">
        <f t="shared" si="0"/>
        <v>238.02</v>
      </c>
      <c r="F34" s="1">
        <f t="shared" si="1"/>
        <v>8.4499999999999993</v>
      </c>
      <c r="G34" s="1"/>
      <c r="H34" s="1">
        <f t="shared" si="2"/>
        <v>1373.8800000000015</v>
      </c>
    </row>
    <row r="35" spans="1:8" ht="15" thickBot="1" x14ac:dyDescent="0.35">
      <c r="A35" s="4">
        <v>31</v>
      </c>
      <c r="B35" s="10">
        <v>46022</v>
      </c>
      <c r="C35" s="1"/>
      <c r="D35" s="1">
        <v>246.47</v>
      </c>
      <c r="E35" s="1">
        <f t="shared" si="0"/>
        <v>239.27</v>
      </c>
      <c r="F35" s="1">
        <f t="shared" si="1"/>
        <v>7.2</v>
      </c>
      <c r="G35" s="1"/>
      <c r="H35" s="1">
        <f t="shared" si="2"/>
        <v>1134.6100000000015</v>
      </c>
    </row>
    <row r="36" spans="1:8" ht="15" thickBot="1" x14ac:dyDescent="0.35">
      <c r="A36" s="4">
        <v>32</v>
      </c>
      <c r="B36" s="10">
        <v>46053</v>
      </c>
      <c r="C36" s="1"/>
      <c r="D36" s="1">
        <v>246.47</v>
      </c>
      <c r="E36" s="1">
        <f t="shared" si="0"/>
        <v>240.52</v>
      </c>
      <c r="F36" s="1">
        <f t="shared" si="1"/>
        <v>5.95</v>
      </c>
      <c r="G36" s="1"/>
      <c r="H36" s="1">
        <f t="shared" si="2"/>
        <v>894.09000000000151</v>
      </c>
    </row>
    <row r="37" spans="1:8" ht="15" thickBot="1" x14ac:dyDescent="0.35">
      <c r="A37" s="4">
        <v>33</v>
      </c>
      <c r="B37" s="10">
        <v>46081</v>
      </c>
      <c r="C37" s="1"/>
      <c r="D37" s="1">
        <v>246.47</v>
      </c>
      <c r="E37" s="1">
        <f t="shared" si="0"/>
        <v>241.78</v>
      </c>
      <c r="F37" s="1">
        <f t="shared" si="1"/>
        <v>4.6900000000000004</v>
      </c>
      <c r="G37" s="1"/>
      <c r="H37" s="1">
        <f t="shared" si="2"/>
        <v>652.31000000000154</v>
      </c>
    </row>
    <row r="38" spans="1:8" ht="15" thickBot="1" x14ac:dyDescent="0.35">
      <c r="A38" s="4">
        <v>34</v>
      </c>
      <c r="B38" s="10">
        <v>46112</v>
      </c>
      <c r="C38" s="1"/>
      <c r="D38" s="1">
        <v>246.47</v>
      </c>
      <c r="E38" s="1">
        <f t="shared" si="0"/>
        <v>243.05</v>
      </c>
      <c r="F38" s="1">
        <f t="shared" si="1"/>
        <v>3.42</v>
      </c>
      <c r="G38" s="1"/>
      <c r="H38" s="1">
        <f t="shared" si="2"/>
        <v>409.26000000000153</v>
      </c>
    </row>
    <row r="39" spans="1:8" ht="15" thickBot="1" x14ac:dyDescent="0.35">
      <c r="A39" s="4">
        <v>35</v>
      </c>
      <c r="B39" s="10">
        <v>46142</v>
      </c>
      <c r="C39" s="1"/>
      <c r="D39" s="1">
        <v>246.47</v>
      </c>
      <c r="E39" s="1">
        <f t="shared" si="0"/>
        <v>244.32</v>
      </c>
      <c r="F39" s="1">
        <f t="shared" si="1"/>
        <v>2.15</v>
      </c>
      <c r="G39" s="1"/>
      <c r="H39" s="1">
        <f t="shared" si="2"/>
        <v>164.94000000000153</v>
      </c>
    </row>
    <row r="40" spans="1:8" ht="15" thickBot="1" x14ac:dyDescent="0.35">
      <c r="A40" s="4">
        <v>36</v>
      </c>
      <c r="B40" s="10">
        <v>46173</v>
      </c>
      <c r="C40" s="1"/>
      <c r="D40" s="1">
        <v>241.16</v>
      </c>
      <c r="E40" s="1">
        <f t="shared" si="0"/>
        <v>240.29999999999998</v>
      </c>
      <c r="F40" s="1">
        <f t="shared" si="1"/>
        <v>0.86</v>
      </c>
      <c r="G40" s="1"/>
      <c r="H40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3E56-8AA8-46DC-B10F-C96EC78527CD}">
  <dimension ref="A1:L8"/>
  <sheetViews>
    <sheetView tabSelected="1" workbookViewId="0">
      <selection activeCell="H7" sqref="H7"/>
    </sheetView>
  </sheetViews>
  <sheetFormatPr defaultRowHeight="14.4" x14ac:dyDescent="0.3"/>
  <cols>
    <col min="1" max="1" width="20.33203125" customWidth="1"/>
    <col min="2" max="2" width="11.5546875" customWidth="1"/>
    <col min="3" max="3" width="11.109375" customWidth="1"/>
    <col min="4" max="4" width="8.6640625" customWidth="1"/>
    <col min="5" max="5" width="31.109375" customWidth="1"/>
    <col min="6" max="6" width="11.44140625" customWidth="1"/>
    <col min="7" max="7" width="10.6640625" customWidth="1"/>
    <col min="10" max="10" width="20.88671875" customWidth="1"/>
    <col min="11" max="11" width="26" customWidth="1"/>
    <col min="12" max="12" width="27.88671875" customWidth="1"/>
  </cols>
  <sheetData>
    <row r="1" spans="1:12" ht="42" customHeight="1" x14ac:dyDescent="0.3">
      <c r="A1" s="31" t="s">
        <v>31</v>
      </c>
      <c r="B1" s="32" t="s">
        <v>32</v>
      </c>
      <c r="C1" s="33" t="s">
        <v>38</v>
      </c>
      <c r="D1" s="33" t="s">
        <v>33</v>
      </c>
      <c r="E1" s="31" t="s">
        <v>34</v>
      </c>
      <c r="F1" s="33" t="s">
        <v>35</v>
      </c>
      <c r="G1" s="33" t="s">
        <v>36</v>
      </c>
      <c r="I1" s="34" t="s">
        <v>40</v>
      </c>
      <c r="J1" s="34" t="s">
        <v>41</v>
      </c>
      <c r="K1" s="34" t="s">
        <v>42</v>
      </c>
      <c r="L1" s="34" t="s">
        <v>43</v>
      </c>
    </row>
    <row r="2" spans="1:12" x14ac:dyDescent="0.3">
      <c r="A2" s="27"/>
      <c r="B2" s="27"/>
      <c r="C2" s="27"/>
      <c r="D2" s="27"/>
      <c r="E2" s="30" t="s">
        <v>39</v>
      </c>
      <c r="F2" s="27"/>
      <c r="G2" s="27"/>
      <c r="I2" s="35">
        <v>0</v>
      </c>
      <c r="J2" s="37" t="s">
        <v>44</v>
      </c>
      <c r="K2" s="37" t="s">
        <v>44</v>
      </c>
      <c r="L2" s="36">
        <v>20000</v>
      </c>
    </row>
    <row r="3" spans="1:12" x14ac:dyDescent="0.3">
      <c r="A3" s="27" t="s">
        <v>37</v>
      </c>
      <c r="B3" s="28">
        <v>20000</v>
      </c>
      <c r="C3" s="28">
        <v>20000</v>
      </c>
      <c r="D3" s="27">
        <v>25</v>
      </c>
      <c r="E3" s="29">
        <v>5000</v>
      </c>
      <c r="F3" s="28">
        <v>20000</v>
      </c>
      <c r="G3" s="28">
        <v>0</v>
      </c>
      <c r="I3" s="35">
        <v>1</v>
      </c>
      <c r="J3" s="36">
        <v>5000</v>
      </c>
      <c r="K3" s="36">
        <v>5000</v>
      </c>
      <c r="L3" s="36">
        <v>15000</v>
      </c>
    </row>
    <row r="4" spans="1:12" x14ac:dyDescent="0.3">
      <c r="I4" s="35">
        <v>2</v>
      </c>
      <c r="J4" s="36">
        <v>5000</v>
      </c>
      <c r="K4" s="36">
        <v>10000</v>
      </c>
      <c r="L4" s="36">
        <v>10000</v>
      </c>
    </row>
    <row r="5" spans="1:12" x14ac:dyDescent="0.3">
      <c r="I5" s="35">
        <v>3</v>
      </c>
      <c r="J5" s="36">
        <v>5000</v>
      </c>
      <c r="K5" s="36">
        <v>15000</v>
      </c>
      <c r="L5" s="36">
        <v>5000</v>
      </c>
    </row>
    <row r="6" spans="1:12" x14ac:dyDescent="0.3">
      <c r="I6" s="35">
        <v>4</v>
      </c>
      <c r="J6" s="36">
        <v>5000</v>
      </c>
      <c r="K6" s="36">
        <v>20000</v>
      </c>
      <c r="L6" s="36">
        <v>0</v>
      </c>
    </row>
    <row r="8" spans="1:12" x14ac:dyDescent="0.3">
      <c r="D8" s="26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Štednja</vt:lpstr>
      <vt:lpstr>Kredit Erste</vt:lpstr>
      <vt:lpstr>Kredit Addiko</vt:lpstr>
      <vt:lpstr>Kredit ZABA</vt:lpstr>
      <vt:lpstr>Amortizacija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Dorian Jambrec</dc:creator>
  <cp:lastModifiedBy>patrikcrncic7@gmail.com</cp:lastModifiedBy>
  <dcterms:created xsi:type="dcterms:W3CDTF">2024-01-12T13:53:27Z</dcterms:created>
  <dcterms:modified xsi:type="dcterms:W3CDTF">2024-01-13T14:25:27Z</dcterms:modified>
</cp:coreProperties>
</file>